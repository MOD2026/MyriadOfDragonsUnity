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Bridged\TP collateral\Shell\Billing\Client\Company\JF foundation\Invoices\2026\"/>
    </mc:Choice>
  </mc:AlternateContent>
  <xr:revisionPtr revIDLastSave="0" documentId="8_{6F5D1BCC-301F-467F-BA43-E9ABD47F52D5}" xr6:coauthVersionLast="47" xr6:coauthVersionMax="47" xr10:uidLastSave="{00000000-0000-0000-0000-000000000000}"/>
  <bookViews>
    <workbookView xWindow="38280" yWindow="-120" windowWidth="29040" windowHeight="15720" xr2:uid="{16BDA2A3-CA39-4751-B9A9-B1D48039C79F}"/>
  </bookViews>
  <sheets>
    <sheet name="JF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<sst xmlns="http://schemas.openxmlformats.org/spreadsheetml/2006/main" count="460" uniqueCount="203">
  <si>
    <t>SHELL PETROLEUM</t>
  </si>
  <si>
    <t>Card Group Name</t>
  </si>
  <si>
    <t>JFFOUNDA</t>
  </si>
  <si>
    <t>Row Labels</t>
  </si>
  <si>
    <t>Sum of Net Amount (Ex. GST)</t>
  </si>
  <si>
    <t xml:space="preserve">Sum of Net Amount (Inc. GST) </t>
  </si>
  <si>
    <t>(blank)</t>
  </si>
  <si>
    <t>SKE7973P</t>
  </si>
  <si>
    <t>SMH170X</t>
  </si>
  <si>
    <t>GBL6555P</t>
  </si>
  <si>
    <t>GBH5019Z</t>
  </si>
  <si>
    <t>GBK8463M</t>
  </si>
  <si>
    <t>SMJ5136C</t>
  </si>
  <si>
    <t>SKW5337U</t>
  </si>
  <si>
    <t>Grand Total</t>
  </si>
  <si>
    <t>Card Full Number</t>
  </si>
  <si>
    <t>Driver Name</t>
  </si>
  <si>
    <t>Vehicle License Number</t>
  </si>
  <si>
    <t>Site Name</t>
  </si>
  <si>
    <t>Receipt Number</t>
  </si>
  <si>
    <t>Product Name</t>
  </si>
  <si>
    <t>Delivery Date</t>
  </si>
  <si>
    <t>Time</t>
  </si>
  <si>
    <t>Quantity</t>
  </si>
  <si>
    <t>Unit Price (Excl GST)</t>
  </si>
  <si>
    <t>Discounted Unit Price (Excl GST)</t>
  </si>
  <si>
    <t>GST</t>
  </si>
  <si>
    <t>Net Amount (Ex. GST)</t>
  </si>
  <si>
    <t xml:space="preserve">Net Amount (Inc. GST) </t>
  </si>
  <si>
    <t>'7002872535773002018</t>
  </si>
  <si>
    <t>SHELL TIONG BAHRU 629_01</t>
  </si>
  <si>
    <t>665694</t>
  </si>
  <si>
    <t>FUELSAVE 95</t>
  </si>
  <si>
    <t>02/06/26</t>
  </si>
  <si>
    <t>05:48:44 PM</t>
  </si>
  <si>
    <t>46.12</t>
  </si>
  <si>
    <t>3.17</t>
  </si>
  <si>
    <t>'7002872535773002059</t>
  </si>
  <si>
    <t>SHELL UPP THOMSON MANDAI 622_01</t>
  </si>
  <si>
    <t>704944</t>
  </si>
  <si>
    <t>04/06/26</t>
  </si>
  <si>
    <t>08:15:38 AM</t>
  </si>
  <si>
    <t>35.55</t>
  </si>
  <si>
    <t>'7002872535773002083</t>
  </si>
  <si>
    <t>SHELL SENGKANG 626_01</t>
  </si>
  <si>
    <t>709177</t>
  </si>
  <si>
    <t>01:56:38 PM</t>
  </si>
  <si>
    <t>35.69</t>
  </si>
  <si>
    <t>'7002872535773002026</t>
  </si>
  <si>
    <t>732361</t>
  </si>
  <si>
    <t>05/06/26</t>
  </si>
  <si>
    <t>12:06:23 PM</t>
  </si>
  <si>
    <t>30.29</t>
  </si>
  <si>
    <t>SHELL W'LANDS AVE 9 603_01</t>
  </si>
  <si>
    <t>750755</t>
  </si>
  <si>
    <t>06/06/26</t>
  </si>
  <si>
    <t>06:27:45 AM</t>
  </si>
  <si>
    <t>40.97</t>
  </si>
  <si>
    <t>3.18</t>
  </si>
  <si>
    <t>'7002872535773002067</t>
  </si>
  <si>
    <t>SHELL PASIR RIS 607_01</t>
  </si>
  <si>
    <t>754106</t>
  </si>
  <si>
    <t>FUELSAVE 98</t>
  </si>
  <si>
    <t>10:15:45 AM</t>
  </si>
  <si>
    <t>34.86</t>
  </si>
  <si>
    <t>3.65</t>
  </si>
  <si>
    <t>'7002872535773002042</t>
  </si>
  <si>
    <t>SHELL BOON LAY 616_01</t>
  </si>
  <si>
    <t>788470</t>
  </si>
  <si>
    <t>07/06/26</t>
  </si>
  <si>
    <t>08:58:27 PM</t>
  </si>
  <si>
    <t>SHELL TUAS SOUTH 673_01</t>
  </si>
  <si>
    <t>800779</t>
  </si>
  <si>
    <t>08/06/26</t>
  </si>
  <si>
    <t>08:25:04 AM</t>
  </si>
  <si>
    <t>37.65</t>
  </si>
  <si>
    <t>805808</t>
  </si>
  <si>
    <t>01:22:01 PM</t>
  </si>
  <si>
    <t>35.22</t>
  </si>
  <si>
    <t>'7002872535773002034</t>
  </si>
  <si>
    <t>826826</t>
  </si>
  <si>
    <t>09/06/26</t>
  </si>
  <si>
    <t>10:07:00 AM</t>
  </si>
  <si>
    <t>28.91</t>
  </si>
  <si>
    <t>846363</t>
  </si>
  <si>
    <t>10/06/26</t>
  </si>
  <si>
    <t>06:36:45 AM</t>
  </si>
  <si>
    <t>39.97</t>
  </si>
  <si>
    <t>847417</t>
  </si>
  <si>
    <t>07:29:11 AM</t>
  </si>
  <si>
    <t>28.67</t>
  </si>
  <si>
    <t>875849</t>
  </si>
  <si>
    <t>11/06/26</t>
  </si>
  <si>
    <t>11:11:28 AM</t>
  </si>
  <si>
    <t>875651</t>
  </si>
  <si>
    <t>11:23:27 AM</t>
  </si>
  <si>
    <t>33.12</t>
  </si>
  <si>
    <t>894078</t>
  </si>
  <si>
    <t>12/06/26</t>
  </si>
  <si>
    <t>06:34:52 AM</t>
  </si>
  <si>
    <t>23.87</t>
  </si>
  <si>
    <t>SHELL GUILLEMARD 662_01</t>
  </si>
  <si>
    <t>895917</t>
  </si>
  <si>
    <t>07:36:14 AM</t>
  </si>
  <si>
    <t>37.58</t>
  </si>
  <si>
    <t>895065</t>
  </si>
  <si>
    <t>07:59:09 AM</t>
  </si>
  <si>
    <t>36.48</t>
  </si>
  <si>
    <t>928222</t>
  </si>
  <si>
    <t>13/06/26</t>
  </si>
  <si>
    <t>04:28:50 PM</t>
  </si>
  <si>
    <t>39.73</t>
  </si>
  <si>
    <t>SHELL JAI 620_01</t>
  </si>
  <si>
    <t>947191</t>
  </si>
  <si>
    <t>14/06/26</t>
  </si>
  <si>
    <t>11:13:02 AM</t>
  </si>
  <si>
    <t>38.46</t>
  </si>
  <si>
    <t>SHELL CWEALTH/STIRLING 612_01</t>
  </si>
  <si>
    <t>992246</t>
  </si>
  <si>
    <t>16/06/26</t>
  </si>
  <si>
    <t>08:21:59 AM</t>
  </si>
  <si>
    <t>30.01</t>
  </si>
  <si>
    <t>015126</t>
  </si>
  <si>
    <t>17/06/26</t>
  </si>
  <si>
    <t>07:38:04 AM</t>
  </si>
  <si>
    <t>26.78</t>
  </si>
  <si>
    <t>016235</t>
  </si>
  <si>
    <t>08:29:49 AM</t>
  </si>
  <si>
    <t>37.73</t>
  </si>
  <si>
    <t>SHELL LAKEVIEW 657_01</t>
  </si>
  <si>
    <t>019135</t>
  </si>
  <si>
    <t>11:03:15 AM</t>
  </si>
  <si>
    <t>47.08</t>
  </si>
  <si>
    <t>023936</t>
  </si>
  <si>
    <t>03:15:36 PM</t>
  </si>
  <si>
    <t>35.93</t>
  </si>
  <si>
    <t>SHELL GEYLANG LOR 7 668_01</t>
  </si>
  <si>
    <t>063885</t>
  </si>
  <si>
    <t>19/06/26</t>
  </si>
  <si>
    <t>07:54:23 AM</t>
  </si>
  <si>
    <t>37.00</t>
  </si>
  <si>
    <t>066445</t>
  </si>
  <si>
    <t>10:12:06 AM</t>
  </si>
  <si>
    <t>086947</t>
  </si>
  <si>
    <t>20/06/26</t>
  </si>
  <si>
    <t>06:57:42 AM</t>
  </si>
  <si>
    <t>38.70</t>
  </si>
  <si>
    <t>3.14</t>
  </si>
  <si>
    <t>091681</t>
  </si>
  <si>
    <t>11:58:43 AM</t>
  </si>
  <si>
    <t>38.20</t>
  </si>
  <si>
    <t>SHELL PEIRCE RESERVOIR 636_01</t>
  </si>
  <si>
    <t>136685</t>
  </si>
  <si>
    <t>22/06/26</t>
  </si>
  <si>
    <t>08:24:58 AM</t>
  </si>
  <si>
    <t>23.98</t>
  </si>
  <si>
    <t>148801</t>
  </si>
  <si>
    <t>08:14:26 PM</t>
  </si>
  <si>
    <t>29.24</t>
  </si>
  <si>
    <t>159137</t>
  </si>
  <si>
    <t>23/06/26</t>
  </si>
  <si>
    <t>07:38:32 AM</t>
  </si>
  <si>
    <t>35.30</t>
  </si>
  <si>
    <t>166302</t>
  </si>
  <si>
    <t>02:18:17 PM</t>
  </si>
  <si>
    <t>37.09</t>
  </si>
  <si>
    <t>182262</t>
  </si>
  <si>
    <t>24/06/26</t>
  </si>
  <si>
    <t>06:51:52 AM</t>
  </si>
  <si>
    <t>47.94</t>
  </si>
  <si>
    <t>206496</t>
  </si>
  <si>
    <t>25/06/26</t>
  </si>
  <si>
    <t>06:31:01 AM</t>
  </si>
  <si>
    <t>26.04</t>
  </si>
  <si>
    <t>215624</t>
  </si>
  <si>
    <t>03:26:54 PM</t>
  </si>
  <si>
    <t>34.61</t>
  </si>
  <si>
    <t>219052</t>
  </si>
  <si>
    <t>07:09:14 PM</t>
  </si>
  <si>
    <t>232556</t>
  </si>
  <si>
    <t>26/06/26</t>
  </si>
  <si>
    <t>08:21:43 AM</t>
  </si>
  <si>
    <t>35.95</t>
  </si>
  <si>
    <t>254379</t>
  </si>
  <si>
    <t>27/06/26</t>
  </si>
  <si>
    <t>06:47:53 AM</t>
  </si>
  <si>
    <t>21.81</t>
  </si>
  <si>
    <t>255004</t>
  </si>
  <si>
    <t>07:28:49 AM</t>
  </si>
  <si>
    <t>28.50</t>
  </si>
  <si>
    <t>264260</t>
  </si>
  <si>
    <t>04:33:43 PM</t>
  </si>
  <si>
    <t>38.89</t>
  </si>
  <si>
    <t>SHELL BRADDELL 642_01</t>
  </si>
  <si>
    <t>270924</t>
  </si>
  <si>
    <t>10:54:06 PM</t>
  </si>
  <si>
    <t>337658</t>
  </si>
  <si>
    <t>30/06/26</t>
  </si>
  <si>
    <t>05:31:20 PM</t>
  </si>
  <si>
    <t>25.85</t>
  </si>
  <si>
    <t>343995</t>
  </si>
  <si>
    <t>11:57:25 PM</t>
  </si>
  <si>
    <t>49.36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</si>
</sst>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My%20Drive/Bridged/TP%20collateral/Shell/Billing/Client/Company/Invoice%20summary/2026/Jun%20%202026%20-%20Professional%20Management%20of%20Corporate%20Fleet%20petroleu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han Poh" refreshedDate="46205.492985300923" createdVersion="6" refreshedVersion="8" minRefreshableVersion="3" recordCount="335" xr:uid="{D60A5A00-806F-43BF-80B2-E778ABD78589}">
  <cacheSource type="worksheet">
    <worksheetSource name="Table1" r:id="rId2"/>
  </cacheSource>
  <cacheFields count="15">
    <cacheField name="Card Group Name" numFmtId="0">
      <sharedItems containsBlank="1" count="22">
        <m/>
        <s v="THE REFERENCE STANDARD PL"/>
        <s v="JFFOUNDA"/>
        <s v="CRISTOFORI MUSIC PTE LTD"/>
        <s v="LIM SHEN CONSTRUCTION PTE LTD"/>
        <s v="CELLINI DESIGN CENTER PL"/>
        <s v="PHOENIX ENG"/>
        <s v="ARMOUR001"/>
        <s v="DFINE ENGINEERING" u="1"/>
        <s v="FULLSUN MARKETING PTE LTD" u="1"/>
        <s v="TROPIC PLANNERS AND LANDSCAPE PTE LTD" u="1"/>
        <s v="TAI SHIN" u="1"/>
        <s v="THE FRESH LABEL PTE LTD" u="1"/>
        <s v="ROCK &amp; WATERSCAPE PTE LTD" u="1"/>
        <s v="ROCK &amp; WATERSCAPE PTE LTD." u="1"/>
        <s v="TROPIC PLANNERS AND LANSCAPE PTE LTD" u="1"/>
        <s v="AIRWERKZ ENGINEERING PTE LTD" u="1"/>
        <s v="MACHCO B. S." u="1"/>
        <s v="Living Décor" u="1"/>
        <s v="TROPICAL ENVIROMENT" u="1"/>
        <s v="SENG SOON HUAT" u="1"/>
        <s v="LIVING DECOR S PTE LTD" u="1"/>
      </sharedItems>
    </cacheField>
    <cacheField name="Card Full Number" numFmtId="0">
      <sharedItems containsBlank="1"/>
    </cacheField>
    <cacheField name="Driver Name" numFmtId="0">
      <sharedItems containsBlank="1" count="57">
        <s v="KOK ZHONG WEI"/>
        <s v="RICHARD TAN"/>
        <m/>
        <s v="GBD9496Z"/>
        <s v="GBF235J"/>
        <s v="CRISTOFORI GBL648U"/>
        <s v="HANSON"/>
        <s v="GBF371Z"/>
        <s v="GBF423H"/>
        <s v="GBD9459G"/>
        <s v="PHOENIX DRIVER 2"/>
        <s v="CRISTOFORI"/>
        <s v="POH YOCK SOON"/>
        <s v="TAN TECK YANG"/>
        <s v="GBK5760A"/>
        <s v="PHOENIX DRIVER 1"/>
        <s v="ARMOURFLEX"/>
        <s v="ALAN CHAN" u="1"/>
        <s v="GAN SHI XUAN" u="1"/>
        <s v="GAN XIAO QI" u="1"/>
        <s v="FULLSUN MARKETING" u="1"/>
        <s v="VINCENT" u="1"/>
        <s v="LEONG KAILAN, NORMAN" u="1"/>
        <s v="GAN HONG SANG" u="1"/>
        <s v="TAISHIN" u="1"/>
        <s v="PHOENIX ENGINEERING" u="1"/>
        <s v="HENRY" u="1"/>
        <s v="MUTHU" u="1"/>
        <s v="CHAN SIEW MUN" u="1"/>
        <s v="TAI SHIN CONTRACTORS" u="1"/>
        <s v="DFINE ENGINEERING" u="1"/>
        <s v="VINCENT CHIA" u="1"/>
        <s v="SITE EQUIPMENT" u="1"/>
        <s v="N87" u="1"/>
        <s v="VICTOR GIAM" u="1"/>
        <s v="RYANTAN" u="1"/>
        <s v="N13" u="1"/>
        <s v="YN6604Z" u="1"/>
        <s v="LEE YUN CHONG" u="1"/>
        <s v="TROPIC PLANNERS" u="1"/>
        <s v="SHEIKH RASEL" u="1"/>
        <s v="TERENCE NG" u="1"/>
        <s v="RAMAKRISHNAN RAVI" u="1"/>
        <s v="YP695P" u="1"/>
        <s v="GAN XIAO QI " u="1"/>
        <s v="SELVAM" u="1"/>
        <s v="BAY EAST" u="1"/>
        <s v="POH ZIHAN" u="1"/>
        <s v="LEONG KAILAN  NORMAN" u="1"/>
        <s v="LINDA KOH" u="1"/>
        <s v="LINDA" u="1"/>
        <s v="DQ YU" u="1"/>
        <s v="YP9788X" u="1"/>
        <s v="SENG SOON HUAT" u="1"/>
        <s v="MACHCO B. S." u="1"/>
        <s v="YP9678E" u="1"/>
        <s v="JESSICA YAP" u="1"/>
      </sharedItems>
    </cacheField>
    <cacheField name="Vehicle License Number" numFmtId="0">
      <sharedItems containsBlank="1" count="73">
        <m/>
        <s v="GBE3988E"/>
        <s v="SMH170X"/>
        <s v="GBL648U"/>
        <s v="SNB9698B"/>
        <s v="SLD487R"/>
        <s v="SKE7973P"/>
        <s v="GBK8463M"/>
        <s v="YQ 9665L"/>
        <s v="YQ 9246M"/>
        <s v="GBL6555P"/>
        <s v="YQ5120T"/>
        <s v="SMJ5136C"/>
        <s v="YP8770C"/>
        <s v="SKW5337U"/>
        <s v="GBH5019Z"/>
        <s v="EK8181R"/>
        <s v="GBM4498D"/>
        <s v="YM9153T"/>
        <s v="GBK5760A"/>
        <s v="GY4593P"/>
        <s v="SMA5335S" u="1"/>
        <s v="SMZ6966H" u="1"/>
        <s v="SKR6966Z" u="1"/>
        <s v="GBD1050D" u="1"/>
        <s v="SJC80J" u="1"/>
        <s v="SMV 4634V" u="1"/>
        <s v="YQ5413Z" u="1"/>
        <s v="SCX6966L" u="1"/>
        <s v="YQ 5120T" u="1"/>
        <s v="SLP1212Y" u="1"/>
        <s v="SGA1688X" u="1"/>
        <s v="YQ4452S" u="1"/>
        <s v="GBK4916A" u="1"/>
        <s v="YQ6373Z" u="1"/>
        <s v="SND4213P" u="1"/>
        <s v="GBK5322G" u="1"/>
        <s v="GBC9560E" u="1"/>
        <s v="YN566P" u="1"/>
        <s v="SLL8828X" u="1"/>
        <s v="SCH7799E" u="1"/>
        <s v="GQ1494D" u="1"/>
        <s v="SGX569S" u="1"/>
        <s v="YN5535X" u="1"/>
        <s v="YN6604Z" u="1"/>
        <s v="SMF3475H " u="1"/>
        <s v="GBC5000C" u="1"/>
        <s v="SLE4895P" u="1"/>
        <s v="YN633D" u="1"/>
        <s v="SKC8882Y" u="1"/>
        <s v="YN6171E" u="1"/>
        <s v="YP695P" u="1"/>
        <s v="SFZ8882K" u="1"/>
        <s v="YN 7472E" u="1"/>
        <s v="SBC8181T" u="1"/>
        <s v="GBB5728S" u="1"/>
        <s v="GBJ808K" u="1"/>
        <s v="SLA1688L" u="1"/>
        <s v="GRASS CUTTING" u="1"/>
        <s v="SLN2255C" u="1"/>
        <s v="GBB9714E" u="1"/>
        <s v="YP9788X" u="1"/>
        <s v="SLN5362G" u="1"/>
        <s v="SKV8848Y" u="1"/>
        <s v="GBJ2768D" u="1"/>
        <s v="SLH80J" u="1"/>
        <s v="GBA9966A" u="1"/>
        <s v="YP9678E" u="1"/>
        <s v="GBC8456B" u="1"/>
        <s v="GP80B" u="1"/>
        <s v="SBG32Y" u="1"/>
        <s v="GBB2497C" u="1"/>
        <s v="GBD1536Z" u="1"/>
      </sharedItems>
    </cacheField>
    <cacheField name="Site Name" numFmtId="0">
      <sharedItems containsBlank="1"/>
    </cacheField>
    <cacheField name="Receipt Number" numFmtId="0">
      <sharedItems containsBlank="1"/>
    </cacheField>
    <cacheField name="Product Name" numFmtId="0">
      <sharedItems containsBlank="1"/>
    </cacheField>
    <cacheField name="Delivery Date" numFmtId="0">
      <sharedItems containsBlank="1"/>
    </cacheField>
    <cacheField name="Time" numFmtId="0">
      <sharedItems containsBlank="1"/>
    </cacheField>
    <cacheField name="Quantity" numFmtId="0">
      <sharedItems containsBlank="1"/>
    </cacheField>
    <cacheField name="Unit Price in transaction currency (excl. VAT)" numFmtId="0">
      <sharedItems containsBlank="1"/>
    </cacheField>
    <cacheField name="Discounted Unit Price (Excl GST)" numFmtId="0">
      <sharedItems containsString="0" containsBlank="1" containsNumber="1" minValue="0" maxValue="3.2080000000000002"/>
    </cacheField>
    <cacheField name="GST" numFmtId="2">
      <sharedItems containsString="0" containsBlank="1" containsNumber="1" minValue="0" maxValue="21.987482399999998"/>
    </cacheField>
    <cacheField name="Net Amount (Ex. GST)" numFmtId="0">
      <sharedItems containsString="0" containsBlank="1" containsNumber="1" minValue="0" maxValue="244.30536000000001"/>
    </cacheField>
    <cacheField name="Net Amount (Inc. GST) " numFmtId="0">
      <sharedItems containsString="0" containsBlank="1" containsNumber="1" minValue="0" maxValue="13491.07989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">
  <r>
    <x v="0"/>
    <s v="'7002872535773000046"/>
    <x v="0"/>
    <x v="0"/>
    <s v="SHELL PUNGGOL 672_01"/>
    <s v="647444"/>
    <s v="FUELSAVE 98"/>
    <s v="01/06/26"/>
    <s v="11:41:11 PM"/>
    <s v="54.02"/>
    <s v="3.65"/>
    <n v="2.92"/>
    <n v="14.196456"/>
    <n v="157.73840000000001"/>
    <n v="171.93485600000002"/>
  </r>
  <r>
    <x v="1"/>
    <s v="'7002872535773001440"/>
    <x v="1"/>
    <x v="1"/>
    <s v="SHELL GEYLANG LOR 7 668_01"/>
    <s v="658079"/>
    <s v="FUELSAVE 95"/>
    <s v="02/06/26"/>
    <s v="10:17:03 AM"/>
    <s v="41.34"/>
    <s v="3.17"/>
    <n v="2.536"/>
    <n v="9.4354416000000008"/>
    <n v="104.83824000000001"/>
    <n v="114.27368160000002"/>
  </r>
  <r>
    <x v="2"/>
    <s v="'7002872535773002018"/>
    <x v="2"/>
    <x v="2"/>
    <s v="SHELL TIONG BAHRU 629_01"/>
    <s v="665694"/>
    <s v="FUELSAVE 95"/>
    <s v="02/06/26"/>
    <s v="05:48:44 PM"/>
    <s v="46.12"/>
    <s v="3.17"/>
    <n v="2.536"/>
    <n v="10.5264288"/>
    <n v="116.96032"/>
    <n v="127.4867488"/>
  </r>
  <r>
    <x v="3"/>
    <s v="'7002872535773000822"/>
    <x v="3"/>
    <x v="0"/>
    <s v="SHELL SIMPANG BEDOK 623_01"/>
    <s v="679760"/>
    <s v="Fuel Economy Diesel (AGO Low Sulphur)"/>
    <s v="03/06/26"/>
    <s v="07:44:04 AM"/>
    <s v="44.87"/>
    <s v="4.01"/>
    <n v="3.2080000000000002"/>
    <n v="12.9548664"/>
    <n v="143.94296"/>
    <n v="156.89782639999999"/>
  </r>
  <r>
    <x v="3"/>
    <s v="'7002872535773001770"/>
    <x v="4"/>
    <x v="0"/>
    <s v="SHELL TAMPINES AVE 2"/>
    <s v="681086"/>
    <s v="Fuel Economy Diesel (AGO Low Sulphur)"/>
    <s v="03/06/26"/>
    <s v="09:42:16 AM"/>
    <s v="37.11"/>
    <s v="4.01"/>
    <n v="3.2080000000000002"/>
    <n v="10.714399200000001"/>
    <n v="119.04888000000001"/>
    <n v="129.7632792"/>
  </r>
  <r>
    <x v="3"/>
    <s v="'7002872535773001994"/>
    <x v="5"/>
    <x v="3"/>
    <s v="SHELL SIMPANG BEDOK 623_01"/>
    <s v="683773"/>
    <s v="Fuel Economy Diesel (AGO Low Sulphur)"/>
    <s v="03/06/26"/>
    <s v="11:06:11 AM"/>
    <s v="49.97"/>
    <s v="4.01"/>
    <n v="3.2080000000000002"/>
    <n v="14.427338400000002"/>
    <n v="160.30376000000001"/>
    <n v="174.73109840000001"/>
  </r>
  <r>
    <x v="4"/>
    <s v="'7002872535773002000"/>
    <x v="2"/>
    <x v="4"/>
    <s v="SHELL P.LEBAR M'PHERSON 638_01"/>
    <s v="688882"/>
    <s v="Fuel Economy Diesel (AGO Low Sulphur)"/>
    <s v="03/06/26"/>
    <s v="04:26:55 PM"/>
    <s v="30.00"/>
    <s v="4.01"/>
    <n v="3.2080000000000002"/>
    <n v="8.6616000000000017"/>
    <n v="96.240000000000009"/>
    <n v="104.90160000000002"/>
  </r>
  <r>
    <x v="0"/>
    <s v="'7002872535773002109"/>
    <x v="6"/>
    <x v="5"/>
    <s v="SHELL SIMPANG BEDOK 623_01"/>
    <s v="704999"/>
    <s v="FUELSAVE 95"/>
    <s v="04/06/26"/>
    <s v="08:04:24 AM"/>
    <s v="10.09"/>
    <s v="3.17"/>
    <n v="2.536"/>
    <n v="2.3029416"/>
    <n v="25.588239999999999"/>
    <n v="27.891181599999999"/>
  </r>
  <r>
    <x v="2"/>
    <s v="'7002872535773002059"/>
    <x v="2"/>
    <x v="6"/>
    <s v="SHELL UPP THOMSON MANDAI 622_01"/>
    <s v="704944"/>
    <s v="FUELSAVE 95"/>
    <s v="04/06/26"/>
    <s v="08:15:38 AM"/>
    <s v="35.55"/>
    <s v="3.17"/>
    <n v="2.536"/>
    <n v="8.1139320000000001"/>
    <n v="90.154799999999994"/>
    <n v="98.268732"/>
  </r>
  <r>
    <x v="2"/>
    <s v="'7002872535773002083"/>
    <x v="2"/>
    <x v="7"/>
    <s v="SHELL SENGKANG 626_01"/>
    <s v="709177"/>
    <s v="FUELSAVE 95"/>
    <s v="04/06/26"/>
    <s v="01:56:38 PM"/>
    <s v="35.69"/>
    <s v="3.17"/>
    <n v="2.536"/>
    <n v="8.1458855999999997"/>
    <n v="90.509839999999997"/>
    <n v="98.655725599999997"/>
  </r>
  <r>
    <x v="5"/>
    <s v="'7002872535773001911"/>
    <x v="2"/>
    <x v="8"/>
    <s v="SHELL PASIR RIS 607_01"/>
    <s v="710136"/>
    <s v="Fuel Economy Diesel (AGO Low Sulphur)"/>
    <s v="04/06/26"/>
    <s v="02:03:47 PM"/>
    <s v="61.80"/>
    <s v="4.01"/>
    <n v="3.2080000000000002"/>
    <n v="17.842896"/>
    <n v="198.2544"/>
    <n v="216.097296"/>
  </r>
  <r>
    <x v="3"/>
    <s v="'7002872535773000806"/>
    <x v="7"/>
    <x v="0"/>
    <s v="SHELL SIMPANG BEDOK 623_01"/>
    <s v="713854"/>
    <s v="Fuel Economy Diesel (AGO Low Sulphur)"/>
    <s v="04/06/26"/>
    <s v="05:07:01 PM"/>
    <s v="42.81"/>
    <s v="4.01"/>
    <n v="3.2080000000000002"/>
    <n v="12.360103200000003"/>
    <n v="137.33448000000001"/>
    <n v="149.69458320000001"/>
  </r>
  <r>
    <x v="3"/>
    <s v="'7002872535773000798"/>
    <x v="8"/>
    <x v="0"/>
    <s v="SHELL PUNGGOL 672_01"/>
    <s v="714509"/>
    <s v="Fuel Economy Diesel (AGO Low Sulphur)"/>
    <s v="04/06/26"/>
    <s v="06:08:33 PM"/>
    <s v="48.75"/>
    <s v="4.01"/>
    <n v="3.2080000000000002"/>
    <n v="14.075100000000001"/>
    <n v="156.39000000000001"/>
    <n v="170.46510000000001"/>
  </r>
  <r>
    <x v="5"/>
    <s v="'7002872535773001937"/>
    <x v="2"/>
    <x v="9"/>
    <s v="SHELL DUNEARN ENG NEO 666_01"/>
    <s v="730237"/>
    <s v="Fuel Economy Diesel (AGO Low Sulphur)"/>
    <s v="05/06/26"/>
    <s v="10:38:53 AM"/>
    <s v="73.23"/>
    <s v="4.01"/>
    <n v="3.2080000000000002"/>
    <n v="21.142965600000004"/>
    <n v="234.92184000000003"/>
    <n v="256.06480560000006"/>
  </r>
  <r>
    <x v="2"/>
    <s v="'7002872535773002026"/>
    <x v="2"/>
    <x v="10"/>
    <s v="SHELL UPP THOMSON MANDAI 622_01"/>
    <s v="732361"/>
    <s v="FUELSAVE 95"/>
    <s v="05/06/26"/>
    <s v="12:06:23 PM"/>
    <s v="30.29"/>
    <s v="3.17"/>
    <n v="2.536"/>
    <n v="6.9133895999999995"/>
    <n v="76.815439999999995"/>
    <n v="83.728829599999997"/>
  </r>
  <r>
    <x v="5"/>
    <s v="'7002872535773001986"/>
    <x v="2"/>
    <x v="11"/>
    <s v="SHELL 305 OUTRAM 661_01."/>
    <s v="733310"/>
    <s v="Fuel Economy Diesel (AGO Low Sulphur)"/>
    <s v="05/06/26"/>
    <s v="01:09:19 PM"/>
    <s v="54.65"/>
    <s v="4.01"/>
    <n v="3.2080000000000002"/>
    <n v="15.778548000000001"/>
    <n v="175.31720000000001"/>
    <n v="191.09574800000001"/>
  </r>
  <r>
    <x v="3"/>
    <s v="'7002872535773000830"/>
    <x v="9"/>
    <x v="0"/>
    <s v="SHELL SGN GDN 606_01"/>
    <s v="737936"/>
    <s v="Fuel Economy Diesel (AGO Low Sulphur)"/>
    <s v="05/06/26"/>
    <s v="05:09:16 PM"/>
    <s v="50.57"/>
    <s v="4.01"/>
    <n v="3.2080000000000002"/>
    <n v="14.600570400000002"/>
    <n v="162.22856000000002"/>
    <n v="176.82913040000003"/>
  </r>
  <r>
    <x v="2"/>
    <s v="'7002872535773002018"/>
    <x v="2"/>
    <x v="2"/>
    <s v="SHELL W'LANDS AVE 9 603_01"/>
    <s v="750755"/>
    <s v="FUELSAVE 95"/>
    <s v="06/06/26"/>
    <s v="06:27:45 AM"/>
    <s v="40.97"/>
    <s v="3.18"/>
    <n v="2.5440000000000005"/>
    <n v="9.3804912000000016"/>
    <n v="104.22768000000002"/>
    <n v="113.60817120000002"/>
  </r>
  <r>
    <x v="3"/>
    <s v="'7002872535773001994"/>
    <x v="5"/>
    <x v="3"/>
    <s v="SHELL SIMPANG BEDOK 623_01"/>
    <s v="752952"/>
    <s v="Fuel Economy Diesel (AGO Low Sulphur)"/>
    <s v="06/06/26"/>
    <s v="08:48:58 AM"/>
    <s v="49.42"/>
    <s v="4.01"/>
    <n v="3.2080000000000002"/>
    <n v="14.268542400000003"/>
    <n v="158.53936000000002"/>
    <n v="172.80790240000002"/>
  </r>
  <r>
    <x v="3"/>
    <s v="'7002872535773001770"/>
    <x v="4"/>
    <x v="0"/>
    <s v="SHELL TAMPINES AVE 2"/>
    <s v="753781"/>
    <s v="Fuel Economy Diesel (AGO Low Sulphur)"/>
    <s v="06/06/26"/>
    <s v="09:31:00 AM"/>
    <s v="35.97"/>
    <s v="4.01"/>
    <n v="3.2080000000000002"/>
    <n v="10.385258400000001"/>
    <n v="115.39176"/>
    <n v="125.7770184"/>
  </r>
  <r>
    <x v="2"/>
    <s v="'7002872535773002067"/>
    <x v="2"/>
    <x v="12"/>
    <s v="SHELL PASIR RIS 607_01"/>
    <s v="754106"/>
    <s v="FUELSAVE 98"/>
    <s v="06/06/26"/>
    <s v="10:15:45 AM"/>
    <s v="34.86"/>
    <s v="3.65"/>
    <n v="2.92"/>
    <n v="9.1612079999999985"/>
    <n v="101.79119999999999"/>
    <n v="110.95240799999999"/>
  </r>
  <r>
    <x v="6"/>
    <s v="'7002872535773000624"/>
    <x v="10"/>
    <x v="13"/>
    <s v="SHELL JAI 620_01"/>
    <s v="784603"/>
    <s v="Fuel Economy Diesel (AGO Low Sulphur)"/>
    <s v="07/06/26"/>
    <s v="04:24:15 PM"/>
    <s v="70.41"/>
    <s v="4.01"/>
    <n v="3.2080000000000002"/>
    <n v="20.328775200000003"/>
    <n v="225.87528"/>
    <n v="246.2040552"/>
  </r>
  <r>
    <x v="2"/>
    <s v="'7002872535773002042"/>
    <x v="2"/>
    <x v="14"/>
    <s v="SHELL BOON LAY 616_01"/>
    <s v="788470"/>
    <s v="FUELSAVE 95"/>
    <s v="07/06/26"/>
    <s v="08:58:27 PM"/>
    <s v="35.55"/>
    <s v="3.17"/>
    <n v="2.536"/>
    <n v="8.1139320000000001"/>
    <n v="90.154799999999994"/>
    <n v="98.268732"/>
  </r>
  <r>
    <x v="2"/>
    <s v="'7002872535773002059"/>
    <x v="2"/>
    <x v="6"/>
    <s v="SHELL TUAS SOUTH 673_01"/>
    <s v="800779"/>
    <s v="FUELSAVE 95"/>
    <s v="08/06/26"/>
    <s v="08:25:04 AM"/>
    <s v="37.65"/>
    <s v="3.17"/>
    <n v="2.536"/>
    <n v="8.5932359999999992"/>
    <n v="95.480400000000003"/>
    <n v="104.07363600000001"/>
  </r>
  <r>
    <x v="2"/>
    <s v="'7002872535773002083"/>
    <x v="2"/>
    <x v="7"/>
    <s v="SHELL TIONG BAHRU 629_01"/>
    <s v="805808"/>
    <s v="FUELSAVE 95"/>
    <s v="08/06/26"/>
    <s v="01:22:01 PM"/>
    <s v="35.22"/>
    <s v="3.17"/>
    <n v="2.536"/>
    <n v="8.0386127999999992"/>
    <n v="89.317920000000001"/>
    <n v="97.356532799999997"/>
  </r>
  <r>
    <x v="4"/>
    <s v="'7002872535773002000"/>
    <x v="2"/>
    <x v="4"/>
    <s v="SHELL W'LANDS AVE 9 603_01"/>
    <s v="814399"/>
    <s v="Fuel Economy Diesel (AGO Low Sulphur)"/>
    <s v="08/06/26"/>
    <s v="10:00:17 PM"/>
    <s v="25.00"/>
    <s v="4.01"/>
    <n v="3.2080000000000002"/>
    <n v="7.2180000000000009"/>
    <n v="80.2"/>
    <n v="87.418000000000006"/>
  </r>
  <r>
    <x v="2"/>
    <s v="'7002872535773002034"/>
    <x v="2"/>
    <x v="15"/>
    <s v="SHELL TIONG BAHRU 629_01"/>
    <s v="826826"/>
    <s v="FUELSAVE 95"/>
    <s v="09/06/26"/>
    <s v="10:07:00 AM"/>
    <s v="28.91"/>
    <s v="3.17"/>
    <n v="2.536"/>
    <n v="6.5984183999999999"/>
    <n v="73.315759999999997"/>
    <n v="79.914178399999997"/>
  </r>
  <r>
    <x v="3"/>
    <s v="'7002872535773000897"/>
    <x v="11"/>
    <x v="0"/>
    <s v="SHELL BT TIMAH HILL 667_01"/>
    <s v="827386"/>
    <s v="Fuel Economy Diesel (AGO Low Sulphur)"/>
    <s v="09/06/26"/>
    <s v="11:32:57 AM"/>
    <s v="47.40"/>
    <s v="4.01"/>
    <n v="3.2080000000000002"/>
    <n v="13.685328000000002"/>
    <n v="152.0592"/>
    <n v="165.744528"/>
  </r>
  <r>
    <x v="2"/>
    <s v="'7002872535773002018"/>
    <x v="2"/>
    <x v="2"/>
    <s v="SHELL W'LANDS AVE 9 603_01"/>
    <s v="846363"/>
    <s v="FUELSAVE 95"/>
    <s v="10/06/26"/>
    <s v="06:36:45 AM"/>
    <s v="39.97"/>
    <s v="3.17"/>
    <n v="2.536"/>
    <n v="9.1227527999999989"/>
    <n v="101.36391999999999"/>
    <n v="110.48667279999999"/>
  </r>
  <r>
    <x v="2"/>
    <s v="'7002872535773002026"/>
    <x v="2"/>
    <x v="10"/>
    <s v="SHELL UPP THOMSON MANDAI 622_01"/>
    <s v="847417"/>
    <s v="FUELSAVE 95"/>
    <s v="10/06/26"/>
    <s v="07:29:11 AM"/>
    <s v="28.67"/>
    <s v="3.17"/>
    <n v="2.536"/>
    <n v="6.5436408000000004"/>
    <n v="72.707120000000003"/>
    <n v="79.250760800000009"/>
  </r>
  <r>
    <x v="3"/>
    <s v="'7002872535773001994"/>
    <x v="5"/>
    <x v="3"/>
    <s v="SHELL SIMPANG BEDOK 623_01"/>
    <s v="848035"/>
    <s v="Fuel Economy Diesel (AGO Low Sulphur)"/>
    <s v="10/06/26"/>
    <s v="08:52:29 AM"/>
    <s v="46.16"/>
    <s v="4.01"/>
    <n v="3.2080000000000002"/>
    <n v="13.327315200000001"/>
    <n v="148.08127999999999"/>
    <n v="161.40859519999998"/>
  </r>
  <r>
    <x v="5"/>
    <s v="'7002872535773001937"/>
    <x v="2"/>
    <x v="9"/>
    <s v="SHELL PASIR RIS 607_01"/>
    <s v="857302"/>
    <s v="Fuel Economy Diesel (AGO Low Sulphur)"/>
    <s v="10/06/26"/>
    <s v="05:57:57 PM"/>
    <s v="75.13"/>
    <s v="4.01"/>
    <n v="3.2080000000000002"/>
    <n v="21.6915336"/>
    <n v="241.01704000000001"/>
    <n v="262.70857360000002"/>
  </r>
  <r>
    <x v="0"/>
    <s v="'7002872535773000020"/>
    <x v="12"/>
    <x v="16"/>
    <s v="SHELL SIMPANG BEDOK 623_01"/>
    <s v="861199"/>
    <s v="FUELSAVE 95"/>
    <s v="10/06/26"/>
    <s v="09:54:13 PM"/>
    <s v="40.63"/>
    <s v="3.17"/>
    <n v="2.536"/>
    <n v="9.2733912000000007"/>
    <n v="103.03768000000001"/>
    <n v="112.31107120000001"/>
  </r>
  <r>
    <x v="5"/>
    <s v="'7002872535773001986"/>
    <x v="2"/>
    <x v="11"/>
    <s v="SHELL DUNEARN UNI 658_01"/>
    <s v="874700"/>
    <s v="Fuel Economy Diesel (AGO Low Sulphur)"/>
    <s v="11/06/26"/>
    <s v="10:25:49 AM"/>
    <s v="55.96"/>
    <s v="4.01"/>
    <n v="3.2080000000000002"/>
    <n v="16.156771200000001"/>
    <n v="179.51968000000002"/>
    <n v="195.67645120000003"/>
  </r>
  <r>
    <x v="2"/>
    <s v="'7002872535773002034"/>
    <x v="2"/>
    <x v="15"/>
    <s v="SHELL TIONG BAHRU 629_01"/>
    <s v="875849"/>
    <s v="FUELSAVE 95"/>
    <s v="11/06/26"/>
    <s v="11:11:28 AM"/>
    <s v="28.91"/>
    <s v="3.17"/>
    <n v="2.536"/>
    <n v="6.5984183999999999"/>
    <n v="73.315759999999997"/>
    <n v="79.914178399999997"/>
  </r>
  <r>
    <x v="2"/>
    <s v="'7002872535773002083"/>
    <x v="2"/>
    <x v="7"/>
    <s v="SHELL SENGKANG 626_01"/>
    <s v="875651"/>
    <s v="FUELSAVE 95"/>
    <s v="11/06/26"/>
    <s v="11:23:27 AM"/>
    <s v="33.12"/>
    <s v="3.18"/>
    <n v="2.5440000000000005"/>
    <n v="7.5831552000000002"/>
    <n v="84.257280000000009"/>
    <n v="91.840435200000002"/>
  </r>
  <r>
    <x v="5"/>
    <s v="'7002872535773001911"/>
    <x v="2"/>
    <x v="8"/>
    <s v="SHELL P.LEBAR M'PHERSON 638_01"/>
    <s v="875937"/>
    <s v="Fuel Economy Diesel (AGO Low Sulphur)"/>
    <s v="11/06/26"/>
    <s v="11:27:28 AM"/>
    <s v="66.40"/>
    <s v="4.01"/>
    <n v="3.2080000000000002"/>
    <n v="19.171008000000004"/>
    <n v="213.01120000000003"/>
    <n v="232.18220800000003"/>
  </r>
  <r>
    <x v="2"/>
    <s v="'7002872535773002018"/>
    <x v="2"/>
    <x v="2"/>
    <s v="SHELL W'LANDS AVE 9 603_01"/>
    <s v="894078"/>
    <s v="FUELSAVE 95"/>
    <s v="12/06/26"/>
    <s v="06:34:52 AM"/>
    <s v="23.87"/>
    <s v="3.17"/>
    <n v="2.536"/>
    <n v="5.4480887999999998"/>
    <n v="60.534320000000001"/>
    <n v="65.982408800000002"/>
  </r>
  <r>
    <x v="2"/>
    <s v="'7002872535773002059"/>
    <x v="2"/>
    <x v="6"/>
    <s v="SHELL GUILLEMARD 662_01"/>
    <s v="895917"/>
    <s v="FUELSAVE 95"/>
    <s v="12/06/26"/>
    <s v="07:36:14 AM"/>
    <s v="37.58"/>
    <s v="3.17"/>
    <n v="2.536"/>
    <n v="8.5772592000000003"/>
    <n v="95.302880000000002"/>
    <n v="103.8801392"/>
  </r>
  <r>
    <x v="2"/>
    <s v="'7002872535773002067"/>
    <x v="2"/>
    <x v="12"/>
    <s v="SHELL GUILLEMARD 662_01"/>
    <s v="895065"/>
    <s v="FUELSAVE 95"/>
    <s v="12/06/26"/>
    <s v="07:59:09 AM"/>
    <s v="36.48"/>
    <s v="3.17"/>
    <n v="2.536"/>
    <n v="8.326195199999999"/>
    <n v="92.513279999999995"/>
    <n v="100.8394752"/>
  </r>
  <r>
    <x v="3"/>
    <s v="'7002872535773000897"/>
    <x v="11"/>
    <x v="0"/>
    <s v="SHELL PUNGGOL 672_01"/>
    <s v="900387"/>
    <s v="Fuel Economy Diesel (AGO Low Sulphur)"/>
    <s v="12/06/26"/>
    <s v="12:17:37 PM"/>
    <s v="48.13"/>
    <s v="3.96"/>
    <n v="3.1680000000000001"/>
    <n v="13.7228256"/>
    <n v="152.47584000000001"/>
    <n v="166.1986656"/>
  </r>
  <r>
    <x v="2"/>
    <s v="'7002872535773002083"/>
    <x v="2"/>
    <x v="7"/>
    <s v="SHELL SENGKANG 626_01"/>
    <s v="928222"/>
    <s v="FUELSAVE 95"/>
    <s v="13/06/26"/>
    <s v="04:28:50 PM"/>
    <s v="39.73"/>
    <s v="3.17"/>
    <n v="2.536"/>
    <n v="9.0679751999999993"/>
    <n v="100.75528"/>
    <n v="109.82325520000001"/>
  </r>
  <r>
    <x v="2"/>
    <s v="'7002872535773002042"/>
    <x v="2"/>
    <x v="14"/>
    <s v="SHELL JAI 620_01"/>
    <s v="947191"/>
    <s v="FUELSAVE 95"/>
    <s v="14/06/26"/>
    <s v="11:13:02 AM"/>
    <s v="38.46"/>
    <s v="3.17"/>
    <n v="2.536"/>
    <n v="8.778110400000001"/>
    <n v="97.534559999999999"/>
    <n v="106.3126704"/>
  </r>
  <r>
    <x v="3"/>
    <s v="'7002872535773001994"/>
    <x v="5"/>
    <x v="3"/>
    <s v="SHELL SIMPANG BEDOK 623_01"/>
    <s v="968249"/>
    <s v="Fuel Economy Diesel (AGO Low Sulphur)"/>
    <s v="15/06/26"/>
    <s v="08:55:01 AM"/>
    <s v="34.52"/>
    <s v="3.96"/>
    <n v="3.1680000000000001"/>
    <n v="9.8423423999999997"/>
    <n v="109.35936000000001"/>
    <n v="119.20170240000002"/>
  </r>
  <r>
    <x v="1"/>
    <s v="'7002872535773002091"/>
    <x v="13"/>
    <x v="17"/>
    <s v="SHELL BUKIT BATOK RD 608_01"/>
    <s v="969670"/>
    <s v="FUELSAVE 95"/>
    <s v="15/06/26"/>
    <s v="09:18:46 AM"/>
    <s v="47.48"/>
    <s v="3.17"/>
    <n v="2.536"/>
    <n v="10.836835199999999"/>
    <n v="120.40928"/>
    <n v="131.24611519999999"/>
  </r>
  <r>
    <x v="2"/>
    <s v="'7002872535773002034"/>
    <x v="2"/>
    <x v="15"/>
    <s v="SHELL CWEALTH/STIRLING 612_01"/>
    <s v="992246"/>
    <s v="FUELSAVE 95"/>
    <s v="16/06/26"/>
    <s v="08:21:59 AM"/>
    <s v="30.01"/>
    <s v="3.17"/>
    <n v="2.536"/>
    <n v="6.8494824000000003"/>
    <n v="76.105360000000005"/>
    <n v="82.954842400000004"/>
  </r>
  <r>
    <x v="3"/>
    <s v="'7002872535773000806"/>
    <x v="7"/>
    <x v="0"/>
    <s v="SHELL BRADDELL 642_01"/>
    <s v="999608"/>
    <s v="Fuel Economy Diesel (AGO Low Sulphur)"/>
    <s v="16/06/26"/>
    <s v="03:41:43 PM"/>
    <s v="36.89"/>
    <s v="3.96"/>
    <n v="3.1680000000000001"/>
    <n v="10.518076799999999"/>
    <n v="116.86752000000001"/>
    <n v="127.38559680000002"/>
  </r>
  <r>
    <x v="5"/>
    <s v="'7002872535773000939"/>
    <x v="2"/>
    <x v="18"/>
    <s v="SHELL PASIR RIS 607_01"/>
    <s v="999948"/>
    <s v="Fuel Economy Diesel (AGO Low Sulphur)"/>
    <s v="16/06/26"/>
    <s v="03:49:45 PM"/>
    <s v="74.12"/>
    <s v="3.96"/>
    <n v="3.1680000000000001"/>
    <n v="21.133094400000001"/>
    <n v="234.81216000000003"/>
    <n v="255.94525440000004"/>
  </r>
  <r>
    <x v="3"/>
    <s v="'7002872535773001994"/>
    <x v="5"/>
    <x v="3"/>
    <s v="SHELL SIMPANG BEDOK 623_01"/>
    <s v="000293"/>
    <s v="Fuel Economy Diesel (AGO Low Sulphur)"/>
    <s v="16/06/26"/>
    <s v="04:53:40 PM"/>
    <s v="41.71"/>
    <s v="3.87"/>
    <n v="3.0960000000000001"/>
    <n v="11.622074400000001"/>
    <n v="129.13416000000001"/>
    <n v="140.75623440000001"/>
  </r>
  <r>
    <x v="3"/>
    <s v="'7002872535773000822"/>
    <x v="3"/>
    <x v="0"/>
    <s v="SHELL BRADDELL 642_01"/>
    <s v="001617"/>
    <s v="Fuel Economy Diesel (AGO Low Sulphur)"/>
    <s v="16/06/26"/>
    <s v="05:22:35 PM"/>
    <s v="25.73"/>
    <s v="3.87"/>
    <n v="3.0960000000000001"/>
    <n v="7.1694072000000002"/>
    <n v="79.660080000000008"/>
    <n v="86.829487200000003"/>
  </r>
  <r>
    <x v="2"/>
    <s v="'7002872535773002026"/>
    <x v="2"/>
    <x v="10"/>
    <s v="SHELL UPP THOMSON MANDAI 622_01"/>
    <s v="015126"/>
    <s v="FUELSAVE 95"/>
    <s v="17/06/26"/>
    <s v="07:38:04 AM"/>
    <s v="26.78"/>
    <s v="3.17"/>
    <n v="2.536"/>
    <n v="6.1122671999999998"/>
    <n v="67.914079999999998"/>
    <n v="74.026347200000004"/>
  </r>
  <r>
    <x v="3"/>
    <s v="'7002872535773000798"/>
    <x v="8"/>
    <x v="0"/>
    <s v="SHELL SIMPANG BEDOK 623_01"/>
    <s v="016319"/>
    <s v="Fuel Economy Diesel (AGO Low Sulphur)"/>
    <s v="17/06/26"/>
    <s v="08:22:40 AM"/>
    <s v="44.89"/>
    <s v="3.87"/>
    <n v="3.0960000000000001"/>
    <n v="12.508149599999999"/>
    <n v="138.97944000000001"/>
    <n v="151.48758960000001"/>
  </r>
  <r>
    <x v="2"/>
    <s v="'7002872535773002059"/>
    <x v="2"/>
    <x v="6"/>
    <s v="SHELL GUILLEMARD 662_01"/>
    <s v="016235"/>
    <s v="FUELSAVE 95"/>
    <s v="17/06/26"/>
    <s v="08:29:49 AM"/>
    <s v="37.73"/>
    <s v="3.17"/>
    <n v="2.536"/>
    <n v="8.6114951999999985"/>
    <n v="95.683279999999996"/>
    <n v="104.29477519999999"/>
  </r>
  <r>
    <x v="2"/>
    <s v="'7002872535773002018"/>
    <x v="2"/>
    <x v="2"/>
    <s v="SHELL LAKEVIEW 657_01"/>
    <s v="019135"/>
    <s v="FUELSAVE 95"/>
    <s v="17/06/26"/>
    <s v="11:03:15 AM"/>
    <s v="47.08"/>
    <s v="3.17"/>
    <n v="2.536"/>
    <n v="10.7455392"/>
    <n v="119.39488"/>
    <n v="130.1404192"/>
  </r>
  <r>
    <x v="5"/>
    <s v="'7002872535773001986"/>
    <x v="2"/>
    <x v="11"/>
    <s v="SHELL SGN GDN 606_01"/>
    <s v="021093"/>
    <s v="Fuel Economy Diesel (AGO Low Sulphur)"/>
    <s v="17/06/26"/>
    <s v="01:40:52 PM"/>
    <s v="67.41"/>
    <s v="3.87"/>
    <n v="3.0960000000000001"/>
    <n v="18.7831224"/>
    <n v="208.70135999999999"/>
    <n v="227.48448239999999"/>
  </r>
  <r>
    <x v="3"/>
    <s v="'7002872535773000897"/>
    <x v="11"/>
    <x v="0"/>
    <s v="SHELL ALEXANDRA 651_01"/>
    <s v="021605"/>
    <s v="Fuel Economy Diesel (AGO Low Sulphur)"/>
    <s v="17/06/26"/>
    <s v="01:49:38 PM"/>
    <s v="49.82"/>
    <s v="3.87"/>
    <n v="3.0960000000000001"/>
    <n v="13.8818448"/>
    <n v="154.24271999999999"/>
    <n v="168.1245648"/>
  </r>
  <r>
    <x v="2"/>
    <s v="'7002872535773002083"/>
    <x v="2"/>
    <x v="7"/>
    <s v="SHELL TIONG BAHRU 629_01"/>
    <s v="023936"/>
    <s v="FUELSAVE 95"/>
    <s v="17/06/26"/>
    <s v="03:15:36 PM"/>
    <s v="35.93"/>
    <s v="3.18"/>
    <n v="2.5440000000000005"/>
    <n v="8.2265328000000011"/>
    <n v="91.405920000000023"/>
    <n v="99.632452800000024"/>
  </r>
  <r>
    <x v="3"/>
    <s v="'7002872535773001788"/>
    <x v="14"/>
    <x v="19"/>
    <s v="SHELL BRADDELL 642_01"/>
    <s v="030725"/>
    <s v="FUELSAVE 95"/>
    <s v="17/06/26"/>
    <s v="10:14:29 PM"/>
    <s v="48.79"/>
    <s v="3.17"/>
    <n v="2.536"/>
    <n v="11.135829599999999"/>
    <n v="123.73144000000001"/>
    <n v="134.86726960000001"/>
  </r>
  <r>
    <x v="5"/>
    <s v="'7002872535773001937"/>
    <x v="2"/>
    <x v="9"/>
    <s v="SHELL PASIR RIS 607_01"/>
    <s v="040080"/>
    <s v="Fuel Economy Diesel (AGO Low Sulphur)"/>
    <s v="18/06/26"/>
    <s v="08:28:45 AM"/>
    <s v="59.34"/>
    <s v="3.87"/>
    <n v="3.0960000000000001"/>
    <n v="16.534497600000002"/>
    <n v="183.71664000000001"/>
    <n v="200.25113760000002"/>
  </r>
  <r>
    <x v="5"/>
    <s v="'7002872535773001911"/>
    <x v="2"/>
    <x v="8"/>
    <s v="SHELL SGN GDN 606_01"/>
    <s v="044402"/>
    <s v="Fuel Economy Diesel (AGO Low Sulphur)"/>
    <s v="18/06/26"/>
    <s v="12:39:17 PM"/>
    <s v="64.30"/>
    <s v="3.87"/>
    <n v="3.0960000000000001"/>
    <n v="17.916551999999999"/>
    <n v="199.0728"/>
    <n v="216.989352"/>
  </r>
  <r>
    <x v="3"/>
    <s v="'7002872535773000830"/>
    <x v="9"/>
    <x v="0"/>
    <s v="SHELL BT BATOK NP 630_01"/>
    <s v="050165"/>
    <s v="Fuel Economy Diesel (AGO Low Sulphur)"/>
    <s v="18/06/26"/>
    <s v="06:12:47 PM"/>
    <s v="40.05"/>
    <s v="3.87"/>
    <n v="3.0960000000000001"/>
    <n v="11.159531999999999"/>
    <n v="123.9948"/>
    <n v="135.15433200000001"/>
  </r>
  <r>
    <x v="2"/>
    <s v="'7002872535773002067"/>
    <x v="2"/>
    <x v="12"/>
    <s v="SHELL GEYLANG LOR 7 668_01"/>
    <s v="063885"/>
    <s v="FUELSAVE 95"/>
    <s v="19/06/26"/>
    <s v="07:54:23 AM"/>
    <s v="37.00"/>
    <s v="3.17"/>
    <n v="2.536"/>
    <n v="8.4448799999999995"/>
    <n v="93.832000000000008"/>
    <n v="102.27688000000001"/>
  </r>
  <r>
    <x v="2"/>
    <s v="'7002872535773002034"/>
    <x v="2"/>
    <x v="15"/>
    <s v="SHELL TIONG BAHRU 629_01"/>
    <s v="066445"/>
    <s v="FUELSAVE 95"/>
    <s v="19/06/26"/>
    <s v="10:12:06 AM"/>
    <s v="28.91"/>
    <s v="3.17"/>
    <n v="2.536"/>
    <n v="6.5984183999999999"/>
    <n v="73.315759999999997"/>
    <n v="79.914178399999997"/>
  </r>
  <r>
    <x v="2"/>
    <s v="'7002872535773002083"/>
    <x v="2"/>
    <x v="7"/>
    <s v="SHELL SENGKANG 626_01"/>
    <s v="086947"/>
    <s v="FUELSAVE 95"/>
    <s v="20/06/26"/>
    <s v="06:57:42 AM"/>
    <s v="38.70"/>
    <s v="3.14"/>
    <n v="2.5120000000000005"/>
    <n v="8.7492960000000011"/>
    <n v="97.214400000000026"/>
    <n v="105.96369600000003"/>
  </r>
  <r>
    <x v="2"/>
    <s v="'7002872535773002042"/>
    <x v="2"/>
    <x v="14"/>
    <s v="SHELL BOON LAY 616_01"/>
    <s v="091681"/>
    <s v="FUELSAVE 95"/>
    <s v="20/06/26"/>
    <s v="11:58:43 AM"/>
    <s v="38.20"/>
    <s v="3.14"/>
    <n v="2.5120000000000005"/>
    <n v="8.6362560000000013"/>
    <n v="95.958400000000026"/>
    <n v="104.59465600000003"/>
  </r>
  <r>
    <x v="3"/>
    <s v="'7002872535773001994"/>
    <x v="5"/>
    <x v="3"/>
    <s v="SHELL SIMPANG BEDOK 623_01"/>
    <s v="092451"/>
    <s v="Fuel Economy Diesel (AGO Low Sulphur)"/>
    <s v="20/06/26"/>
    <s v="12:36:07 PM"/>
    <s v="43.77"/>
    <s v="3.87"/>
    <n v="3.0960000000000001"/>
    <n v="12.196072800000001"/>
    <n v="135.51192"/>
    <n v="147.7079928"/>
  </r>
  <r>
    <x v="5"/>
    <s v="'7002872535773001937"/>
    <x v="2"/>
    <x v="9"/>
    <s v="SHELL SIGLAP 602_01"/>
    <s v="095057"/>
    <s v="Fuel Economy Diesel (AGO Low Sulphur)"/>
    <s v="20/06/26"/>
    <s v="03:59:00 PM"/>
    <s v="71.29"/>
    <s v="3.87"/>
    <n v="3.0960000000000001"/>
    <n v="19.8642456"/>
    <n v="220.71384000000003"/>
    <n v="240.57808560000004"/>
  </r>
  <r>
    <x v="0"/>
    <s v="'7002872535773002109"/>
    <x v="6"/>
    <x v="5"/>
    <s v="SHELL SIMPANG BEDOK 623_01"/>
    <s v="097016"/>
    <s v="FUELSAVE 95"/>
    <s v="20/06/26"/>
    <s v="05:34:45 PM"/>
    <s v="30.00"/>
    <s v="3.14"/>
    <n v="2.5120000000000005"/>
    <n v="6.7824000000000009"/>
    <n v="75.360000000000014"/>
    <n v="82.142400000000009"/>
  </r>
  <r>
    <x v="0"/>
    <s v="'7002872535773000046"/>
    <x v="0"/>
    <x v="0"/>
    <s v="SHELL PUNGGOL 672_01"/>
    <s v="101894"/>
    <s v="FUELSAVE 98"/>
    <s v="20/06/26"/>
    <s v="09:22:10 PM"/>
    <s v="53.30"/>
    <s v="3.62"/>
    <n v="2.8960000000000004"/>
    <n v="13.892112000000001"/>
    <n v="154.35680000000002"/>
    <n v="168.24891200000002"/>
  </r>
  <r>
    <x v="3"/>
    <s v="'7002872535773000897"/>
    <x v="11"/>
    <x v="0"/>
    <s v="SHELL TAMPINES AVE 2"/>
    <s v="120653"/>
    <s v="Fuel Economy Diesel (AGO Low Sulphur)"/>
    <s v="21/06/26"/>
    <s v="04:39:04 PM"/>
    <s v="29.55"/>
    <s v="3.87"/>
    <n v="3.0960000000000001"/>
    <n v="8.2338120000000004"/>
    <n v="91.486800000000002"/>
    <n v="99.720612000000003"/>
  </r>
  <r>
    <x v="2"/>
    <s v="'7002872535773002026"/>
    <x v="2"/>
    <x v="10"/>
    <s v="SHELL PEIRCE RESERVOIR 636_01"/>
    <s v="136685"/>
    <s v="FUELSAVE 95"/>
    <s v="22/06/26"/>
    <s v="08:24:58 AM"/>
    <s v="23.98"/>
    <s v="3.14"/>
    <n v="2.5120000000000005"/>
    <n v="5.4213984000000011"/>
    <n v="60.237760000000009"/>
    <n v="65.65915840000001"/>
  </r>
  <r>
    <x v="2"/>
    <s v="'7002872535773002034"/>
    <x v="2"/>
    <x v="15"/>
    <s v="SHELL LAKEVIEW 657_01"/>
    <s v="148801"/>
    <s v="FUELSAVE 95"/>
    <s v="22/06/26"/>
    <s v="08:14:26 PM"/>
    <s v="29.24"/>
    <s v="3.14"/>
    <n v="2.5120000000000005"/>
    <n v="6.610579200000001"/>
    <n v="73.450880000000012"/>
    <n v="80.061459200000016"/>
  </r>
  <r>
    <x v="2"/>
    <s v="'7002872535773002059"/>
    <x v="2"/>
    <x v="6"/>
    <s v="SHELL GUILLEMARD 662_01"/>
    <s v="159137"/>
    <s v="FUELSAVE 95"/>
    <s v="23/06/26"/>
    <s v="07:38:32 AM"/>
    <s v="35.30"/>
    <s v="3.14"/>
    <n v="2.5120000000000005"/>
    <n v="7.9806240000000006"/>
    <n v="88.673600000000008"/>
    <n v="96.654224000000013"/>
  </r>
  <r>
    <x v="3"/>
    <s v="'7002872535773001994"/>
    <x v="5"/>
    <x v="3"/>
    <s v="SHELL BT TIMAH HILL 667_01"/>
    <s v="164493"/>
    <s v="Fuel Economy Diesel (AGO Low Sulphur)"/>
    <s v="23/06/26"/>
    <s v="12:32:14 PM"/>
    <s v="41.52"/>
    <s v="3.87"/>
    <n v="3.0960000000000001"/>
    <n v="11.5691328"/>
    <n v="128.54592000000002"/>
    <n v="140.11505280000003"/>
  </r>
  <r>
    <x v="2"/>
    <s v="'7002872535773002083"/>
    <x v="2"/>
    <x v="7"/>
    <s v="SHELL TUAS SOUTH 673_01"/>
    <s v="166302"/>
    <s v="FUELSAVE 95"/>
    <s v="23/06/26"/>
    <s v="02:18:17 PM"/>
    <s v="37.09"/>
    <s v="3.14"/>
    <n v="2.5120000000000005"/>
    <n v="8.3853072000000015"/>
    <n v="93.170080000000027"/>
    <n v="101.55538720000003"/>
  </r>
  <r>
    <x v="1"/>
    <s v="'7002872535773002091"/>
    <x v="13"/>
    <x v="17"/>
    <s v="SHELL BUKIT BATOK RD 608_01"/>
    <s v="169641"/>
    <s v="FUELSAVE 95"/>
    <s v="23/06/26"/>
    <s v="05:59:35 PM"/>
    <s v="43.03"/>
    <s v="3.14"/>
    <n v="2.5120000000000005"/>
    <n v="9.7282224000000017"/>
    <n v="108.09136000000002"/>
    <n v="117.81958240000003"/>
  </r>
  <r>
    <x v="2"/>
    <s v="'7002872535773002018"/>
    <x v="2"/>
    <x v="2"/>
    <s v="SHELL W'LANDS AVE 9 603_01"/>
    <s v="182262"/>
    <s v="FUELSAVE 95"/>
    <s v="24/06/26"/>
    <s v="06:51:52 AM"/>
    <s v="47.94"/>
    <s v="3.14"/>
    <n v="2.5120000000000005"/>
    <n v="10.838275200000002"/>
    <n v="120.42528000000001"/>
    <n v="131.26355520000001"/>
  </r>
  <r>
    <x v="5"/>
    <s v="'7002872535773001986"/>
    <x v="2"/>
    <x v="11"/>
    <s v="SHELL YIO CHU KANG 633_01"/>
    <s v="189686"/>
    <s v="Fuel Economy Diesel (AGO Low Sulphur)"/>
    <s v="24/06/26"/>
    <s v="01:25:21 PM"/>
    <s v="60.75"/>
    <s v="3.87"/>
    <n v="3.0960000000000001"/>
    <n v="16.927379999999999"/>
    <n v="188.08199999999999"/>
    <n v="205.00937999999999"/>
  </r>
  <r>
    <x v="3"/>
    <s v="'7002872535773001994"/>
    <x v="5"/>
    <x v="3"/>
    <s v="SHELL SIMPANG BEDOK 623_01"/>
    <s v="192608"/>
    <s v="Fuel Economy Diesel (AGO Low Sulphur)"/>
    <s v="24/06/26"/>
    <s v="04:08:49 PM"/>
    <s v="48.83"/>
    <s v="3.87"/>
    <n v="3.0960000000000001"/>
    <n v="13.6059912"/>
    <n v="151.17768000000001"/>
    <n v="164.78367120000001"/>
  </r>
  <r>
    <x v="2"/>
    <s v="'7002872535773002067"/>
    <x v="2"/>
    <x v="12"/>
    <s v="SHELL GEYLANG LOR 7 668_01"/>
    <s v="206496"/>
    <s v="FUELSAVE 95"/>
    <s v="25/06/26"/>
    <s v="06:31:01 AM"/>
    <s v="26.04"/>
    <s v="3.14"/>
    <n v="2.5120000000000005"/>
    <n v="5.8871232000000004"/>
    <n v="65.412480000000016"/>
    <n v="71.299603200000021"/>
  </r>
  <r>
    <x v="3"/>
    <s v="'7002872535773001770"/>
    <x v="4"/>
    <x v="0"/>
    <s v="SHELL SIMPANG BEDOK 623_01"/>
    <s v="209635"/>
    <s v="Fuel Economy Diesel (AGO Low Sulphur)"/>
    <s v="25/06/26"/>
    <s v="09:01:32 AM"/>
    <s v="47.49"/>
    <s v="3.87"/>
    <n v="3.0960000000000001"/>
    <n v="13.232613600000001"/>
    <n v="147.02904000000001"/>
    <n v="160.26165360000002"/>
  </r>
  <r>
    <x v="4"/>
    <s v="'7002872535773002000"/>
    <x v="2"/>
    <x v="4"/>
    <s v="SHELL GEYLANG LOR 7 668_01"/>
    <s v="214972"/>
    <s v="Fuel Economy Diesel (AGO Low Sulphur)"/>
    <s v="25/06/26"/>
    <s v="02:17:55 PM"/>
    <s v="20.00"/>
    <s v="3.87"/>
    <n v="3.0960000000000001"/>
    <n v="5.5728"/>
    <n v="61.92"/>
    <n v="67.492800000000003"/>
  </r>
  <r>
    <x v="2"/>
    <s v="'7002872535773002083"/>
    <x v="2"/>
    <x v="7"/>
    <s v="SHELL GEYLANG LOR 7 668_01"/>
    <s v="215624"/>
    <s v="FUELSAVE 95"/>
    <s v="25/06/26"/>
    <s v="03:26:54 PM"/>
    <s v="34.61"/>
    <s v="3.14"/>
    <n v="2.5120000000000005"/>
    <n v="7.824628800000001"/>
    <n v="86.940320000000014"/>
    <n v="94.764948800000013"/>
  </r>
  <r>
    <x v="2"/>
    <s v="'7002872535773002034"/>
    <x v="2"/>
    <x v="15"/>
    <s v="SHELL TIONG BAHRU 629_01"/>
    <s v="219052"/>
    <s v="FUELSAVE 95"/>
    <s v="25/06/26"/>
    <s v="07:09:14 PM"/>
    <s v="29.24"/>
    <s v="3.14"/>
    <n v="2.5120000000000005"/>
    <n v="6.610579200000001"/>
    <n v="73.450880000000012"/>
    <n v="80.061459200000016"/>
  </r>
  <r>
    <x v="3"/>
    <s v="'7002872535773001994"/>
    <x v="5"/>
    <x v="3"/>
    <s v="SHELL SIMPANG BEDOK 623_01"/>
    <s v="232639"/>
    <s v="Fuel Economy Diesel (AGO Low Sulphur)"/>
    <s v="26/06/26"/>
    <s v="08:19:22 AM"/>
    <s v="43.95"/>
    <s v="3.87"/>
    <n v="3.0960000000000001"/>
    <n v="12.246228"/>
    <n v="136.06920000000002"/>
    <n v="148.31542800000003"/>
  </r>
  <r>
    <x v="2"/>
    <s v="'7002872535773002042"/>
    <x v="2"/>
    <x v="14"/>
    <s v="SHELL TIONG BAHRU 629_01"/>
    <s v="232556"/>
    <s v="FUELSAVE 95"/>
    <s v="26/06/26"/>
    <s v="08:21:43 AM"/>
    <s v="35.95"/>
    <s v="3.14"/>
    <n v="2.5120000000000005"/>
    <n v="8.1275760000000012"/>
    <n v="90.306400000000025"/>
    <n v="98.43397600000003"/>
  </r>
  <r>
    <x v="3"/>
    <s v="'7002872535773000822"/>
    <x v="3"/>
    <x v="0"/>
    <s v="SHELL CHOA CHU KANG 656_01"/>
    <s v="239486"/>
    <s v="Fuel Economy Diesel (AGO Low Sulphur)"/>
    <s v="26/06/26"/>
    <s v="03:17:55 PM"/>
    <s v="24.10"/>
    <s v="3.87"/>
    <n v="3.0960000000000001"/>
    <n v="6.7152240000000001"/>
    <n v="74.613600000000005"/>
    <n v="81.328824000000012"/>
  </r>
  <r>
    <x v="5"/>
    <s v="'7002872535773001937"/>
    <x v="2"/>
    <x v="9"/>
    <s v="SHELL SIGLAP 602_01"/>
    <s v="239670"/>
    <s v="Fuel Economy Diesel (AGO Low Sulphur)"/>
    <s v="26/06/26"/>
    <s v="03:39:36 PM"/>
    <s v="74.70"/>
    <s v="3.87"/>
    <n v="3.0960000000000001"/>
    <n v="20.814408"/>
    <n v="231.27120000000002"/>
    <n v="252.08560800000004"/>
  </r>
  <r>
    <x v="6"/>
    <s v="'7002872535773000509"/>
    <x v="15"/>
    <x v="13"/>
    <s v="SHELL JAI 620_01"/>
    <s v="241082"/>
    <s v="Fuel Economy Diesel (AGO Low Sulphur)"/>
    <s v="26/06/26"/>
    <s v="05:26:30 PM"/>
    <s v="78.91"/>
    <s v="3.87"/>
    <n v="3.0960000000000001"/>
    <n v="21.987482399999998"/>
    <n v="244.30536000000001"/>
    <n v="266.29284239999998"/>
  </r>
  <r>
    <x v="2"/>
    <s v="'7002872535773002018"/>
    <x v="2"/>
    <x v="2"/>
    <s v="SHELL W'LANDS AVE 9 603_01"/>
    <s v="254379"/>
    <s v="FUELSAVE 95"/>
    <s v="27/06/26"/>
    <s v="06:47:53 AM"/>
    <s v="21.81"/>
    <s v="3.14"/>
    <n v="2.5120000000000005"/>
    <n v="4.9308048000000007"/>
    <n v="54.78672000000001"/>
    <n v="59.717524800000007"/>
  </r>
  <r>
    <x v="2"/>
    <s v="'7002872535773002026"/>
    <x v="2"/>
    <x v="10"/>
    <s v="SHELL UPP THOMSON MANDAI 622_01"/>
    <s v="255004"/>
    <s v="FUELSAVE 95"/>
    <s v="27/06/26"/>
    <s v="07:28:49 AM"/>
    <s v="28.50"/>
    <s v="3.14"/>
    <n v="2.5120000000000005"/>
    <n v="6.4432800000000006"/>
    <n v="71.592000000000013"/>
    <n v="78.035280000000014"/>
  </r>
  <r>
    <x v="5"/>
    <s v="'7002872535773000939"/>
    <x v="2"/>
    <x v="18"/>
    <s v="SHELL CWEALTH/STIRLING 612_01"/>
    <s v="259282"/>
    <s v="Fuel Economy Diesel (AGO Low Sulphur)"/>
    <s v="27/06/26"/>
    <s v="11:23:10 AM"/>
    <s v="61.94"/>
    <s v="3.87"/>
    <n v="3.0960000000000001"/>
    <n v="17.258961599999999"/>
    <n v="191.76624000000001"/>
    <n v="209.0252016"/>
  </r>
  <r>
    <x v="5"/>
    <s v="'7002872535773001986"/>
    <x v="2"/>
    <x v="11"/>
    <s v="SHELL BOON LAY 616_01"/>
    <s v="263229"/>
    <s v="Fuel Economy Diesel (AGO Low Sulphur)"/>
    <s v="27/06/26"/>
    <s v="03:49:35 PM"/>
    <s v="47.69"/>
    <s v="3.87"/>
    <n v="3.0960000000000001"/>
    <n v="13.288341599999999"/>
    <n v="147.64823999999999"/>
    <n v="160.93658159999998"/>
  </r>
  <r>
    <x v="3"/>
    <s v="'7002872535773001994"/>
    <x v="5"/>
    <x v="3"/>
    <s v="SHELL SIMPANG BEDOK 623_01"/>
    <s v="264964"/>
    <s v="Fuel Economy Diesel (AGO Low Sulphur)"/>
    <s v="27/06/26"/>
    <s v="04:04:18 PM"/>
    <s v="30.21"/>
    <s v="3.87"/>
    <n v="3.0960000000000001"/>
    <n v="8.4177143999999995"/>
    <n v="93.530160000000009"/>
    <n v="101.9478744"/>
  </r>
  <r>
    <x v="0"/>
    <s v="'7002872535773002109"/>
    <x v="6"/>
    <x v="5"/>
    <s v="SHELL BUKIT BATOK RD 608_01"/>
    <s v="264975"/>
    <s v="FUELSAVE 95"/>
    <s v="27/06/26"/>
    <s v="04:06:30 PM"/>
    <s v="37.76"/>
    <s v="3.14"/>
    <n v="2.5120000000000005"/>
    <n v="8.5367808000000007"/>
    <n v="94.853120000000018"/>
    <n v="103.38990080000002"/>
  </r>
  <r>
    <x v="2"/>
    <s v="'7002872535773002059"/>
    <x v="2"/>
    <x v="6"/>
    <s v="SHELL GUILLEMARD 662_01"/>
    <s v="264260"/>
    <s v="FUELSAVE 95"/>
    <s v="27/06/26"/>
    <s v="04:33:43 PM"/>
    <s v="38.89"/>
    <s v="3.14"/>
    <n v="2.5120000000000005"/>
    <n v="8.7922512000000008"/>
    <n v="97.691680000000019"/>
    <n v="106.48393120000001"/>
  </r>
  <r>
    <x v="3"/>
    <s v="'7002872535773000806"/>
    <x v="7"/>
    <x v="0"/>
    <s v="SHELL SIMPANG BEDOK 623_01"/>
    <s v="265690"/>
    <s v="Fuel Economy Diesel (AGO Low Sulphur)"/>
    <s v="27/06/26"/>
    <s v="05:57:07 PM"/>
    <s v="36.39"/>
    <s v="3.87"/>
    <n v="3.0960000000000001"/>
    <n v="10.1397096"/>
    <n v="112.66344000000001"/>
    <n v="122.80314960000001"/>
  </r>
  <r>
    <x v="2"/>
    <s v="'7002872535773002034"/>
    <x v="2"/>
    <x v="15"/>
    <s v="SHELL BRADDELL 642_01"/>
    <s v="270924"/>
    <s v="FUELSAVE 95"/>
    <s v="27/06/26"/>
    <s v="10:54:06 PM"/>
    <s v="29.24"/>
    <s v="3.14"/>
    <n v="2.5120000000000005"/>
    <n v="6.610579200000001"/>
    <n v="73.450880000000012"/>
    <n v="80.061459200000016"/>
  </r>
  <r>
    <x v="7"/>
    <s v="'7002872535773001275"/>
    <x v="16"/>
    <x v="20"/>
    <s v="SHELL W'LANDS AVE 9 603_01"/>
    <s v="288153"/>
    <s v="Fuel Economy Diesel (AGO Low Sulphur)"/>
    <s v="28/06/26"/>
    <s v="04:26:12 PM"/>
    <s v="42.93"/>
    <s v="3.87"/>
    <n v="3.0960000000000001"/>
    <n v="11.9620152"/>
    <n v="132.91128"/>
    <n v="144.8732952"/>
  </r>
  <r>
    <x v="3"/>
    <s v="'7002872535773001770"/>
    <x v="4"/>
    <x v="0"/>
    <s v="SHELL TAMPINES AVE 2"/>
    <s v="310201"/>
    <s v="Fuel Economy Diesel (AGO Low Sulphur)"/>
    <s v="29/06/26"/>
    <s v="02:18:24 PM"/>
    <s v="32.58"/>
    <s v="3.78"/>
    <n v="3.024"/>
    <n v="8.8669727999999992"/>
    <n v="98.521919999999994"/>
    <n v="107.38889279999999"/>
  </r>
  <r>
    <x v="4"/>
    <s v="'7002872535773002000"/>
    <x v="2"/>
    <x v="4"/>
    <s v="SHELL CHOA CHU KANG 656_01"/>
    <s v="330033"/>
    <s v="Fuel Economy Diesel (AGO Low Sulphur)"/>
    <s v="30/06/26"/>
    <s v="10:18:47 AM"/>
    <s v="12.01"/>
    <s v="3.78"/>
    <n v="3.024"/>
    <n v="3.2686416"/>
    <n v="36.318240000000003"/>
    <n v="39.586881600000005"/>
  </r>
  <r>
    <x v="2"/>
    <s v="'7002872535773002042"/>
    <x v="2"/>
    <x v="14"/>
    <s v="SHELL TIONG BAHRU 629_01"/>
    <s v="337658"/>
    <s v="FUELSAVE 95"/>
    <s v="30/06/26"/>
    <s v="05:31:20 PM"/>
    <s v="25.85"/>
    <s v="3.14"/>
    <n v="2.5120000000000005"/>
    <n v="5.8441680000000007"/>
    <n v="64.935200000000009"/>
    <n v="70.779368000000005"/>
  </r>
  <r>
    <x v="2"/>
    <s v="'7002872535773002018"/>
    <x v="2"/>
    <x v="2"/>
    <s v="SHELL W'LANDS AVE 9 603_01"/>
    <s v="343995"/>
    <s v="FUELSAVE 95"/>
    <s v="30/06/26"/>
    <s v="11:57:25 PM"/>
    <s v="49.36"/>
    <s v="3.14"/>
    <n v="2.5120000000000005"/>
    <n v="11.159308800000002"/>
    <n v="123.99232000000002"/>
    <n v="135.15162880000003"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n v="0"/>
    <n v="0"/>
    <n v="0"/>
    <n v="13491.0798968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m/>
    <m/>
    <m/>
    <n v="13491.0798968"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n v="13491.0798968"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m/>
    <m/>
    <m/>
    <m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13491.0798968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n v="0"/>
    <n v="0"/>
    <n v="0"/>
    <n v="0"/>
  </r>
  <r>
    <x v="0"/>
    <m/>
    <x v="2"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FE094-BCEC-4FC4-9792-F33DF83BF7B6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C13" firstHeaderRow="0" firstDataRow="1" firstDataCol="1" rowPageCount="1" colPageCount="1"/>
  <pivotFields count="15">
    <pivotField axis="axisPage" showAll="0">
      <items count="23">
        <item m="1" x="16"/>
        <item x="7"/>
        <item x="5"/>
        <item x="3"/>
        <item m="1" x="8"/>
        <item m="1" x="9"/>
        <item x="2"/>
        <item m="1" x="17"/>
        <item x="6"/>
        <item m="1" x="20"/>
        <item m="1" x="11"/>
        <item x="1"/>
        <item m="1" x="15"/>
        <item m="1" x="19"/>
        <item x="0"/>
        <item m="1" x="10"/>
        <item m="1" x="18"/>
        <item m="1" x="21"/>
        <item m="1" x="13"/>
        <item m="1" x="14"/>
        <item m="1" x="12"/>
        <item x="4"/>
        <item t="default"/>
      </items>
    </pivotField>
    <pivotField showAll="0"/>
    <pivotField axis="axisRow" showAll="0">
      <items count="58">
        <item m="1" x="17"/>
        <item x="16"/>
        <item m="1" x="46"/>
        <item x="11"/>
        <item m="1" x="30"/>
        <item m="1" x="51"/>
        <item m="1" x="20"/>
        <item m="1" x="44"/>
        <item x="9"/>
        <item x="3"/>
        <item x="4"/>
        <item x="7"/>
        <item x="8"/>
        <item m="1" x="56"/>
        <item x="0"/>
        <item m="1" x="38"/>
        <item m="1" x="48"/>
        <item m="1" x="54"/>
        <item m="1" x="36"/>
        <item m="1" x="33"/>
        <item x="15"/>
        <item x="10"/>
        <item m="1" x="25"/>
        <item x="12"/>
        <item m="1" x="47"/>
        <item m="1" x="42"/>
        <item x="1"/>
        <item m="1" x="45"/>
        <item m="1" x="53"/>
        <item m="1" x="29"/>
        <item m="1" x="24"/>
        <item m="1" x="41"/>
        <item m="1" x="39"/>
        <item m="1" x="34"/>
        <item x="2"/>
        <item x="5"/>
        <item m="1" x="55"/>
        <item m="1" x="52"/>
        <item m="1" x="40"/>
        <item m="1" x="37"/>
        <item m="1" x="49"/>
        <item m="1" x="22"/>
        <item m="1" x="18"/>
        <item m="1" x="43"/>
        <item m="1" x="23"/>
        <item m="1" x="35"/>
        <item m="1" x="32"/>
        <item m="1" x="21"/>
        <item m="1" x="31"/>
        <item x="14"/>
        <item m="1" x="50"/>
        <item m="1" x="28"/>
        <item m="1" x="27"/>
        <item m="1" x="26"/>
        <item m="1" x="19"/>
        <item x="13"/>
        <item x="6"/>
        <item t="default"/>
      </items>
    </pivotField>
    <pivotField axis="axisRow" showAll="0">
      <items count="74">
        <item x="16"/>
        <item m="1" x="71"/>
        <item m="1" x="55"/>
        <item m="1" x="46"/>
        <item m="1" x="24"/>
        <item m="1" x="72"/>
        <item x="1"/>
        <item m="1" x="56"/>
        <item m="1" x="36"/>
        <item m="1" x="41"/>
        <item m="1" x="58"/>
        <item x="20"/>
        <item m="1" x="54"/>
        <item m="1" x="52"/>
        <item m="1" x="31"/>
        <item m="1" x="42"/>
        <item m="1" x="49"/>
        <item x="6"/>
        <item m="1" x="23"/>
        <item m="1" x="63"/>
        <item m="1" x="57"/>
        <item x="5"/>
        <item m="1" x="47"/>
        <item m="1" x="39"/>
        <item m="1" x="59"/>
        <item m="1" x="62"/>
        <item m="1" x="30"/>
        <item m="1" x="21"/>
        <item m="1" x="45"/>
        <item m="1" x="26"/>
        <item x="18"/>
        <item m="1" x="53"/>
        <item m="1" x="43"/>
        <item m="1" x="38"/>
        <item m="1" x="50"/>
        <item m="1" x="48"/>
        <item m="1" x="44"/>
        <item m="1" x="51"/>
        <item x="13"/>
        <item m="1" x="67"/>
        <item m="1" x="61"/>
        <item x="0"/>
        <item x="3"/>
        <item m="1" x="64"/>
        <item m="1" x="68"/>
        <item m="1" x="70"/>
        <item m="1" x="22"/>
        <item m="1" x="69"/>
        <item m="1" x="28"/>
        <item m="1" x="66"/>
        <item m="1" x="25"/>
        <item m="1" x="40"/>
        <item x="19"/>
        <item m="1" x="65"/>
        <item m="1" x="60"/>
        <item m="1" x="32"/>
        <item m="1" x="35"/>
        <item m="1" x="27"/>
        <item m="1" x="37"/>
        <item x="4"/>
        <item m="1" x="34"/>
        <item m="1" x="33"/>
        <item x="2"/>
        <item x="8"/>
        <item x="9"/>
        <item m="1" x="29"/>
        <item x="11"/>
        <item x="10"/>
        <item x="15"/>
        <item x="7"/>
        <item x="12"/>
        <item x="14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2">
    <field x="2"/>
    <field x="3"/>
  </rowFields>
  <rowItems count="9">
    <i>
      <x v="34"/>
    </i>
    <i r="1">
      <x v="17"/>
    </i>
    <i r="1">
      <x v="62"/>
    </i>
    <i r="1">
      <x v="67"/>
    </i>
    <i r="1">
      <x v="68"/>
    </i>
    <i r="1">
      <x v="69"/>
    </i>
    <i r="1">
      <x v="70"/>
    </i>
    <i r="1">
      <x v="7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6" hier="-1"/>
  </pageFields>
  <dataFields count="2">
    <dataField name="Sum of Net Amount (Ex. GST)" fld="13" baseField="0" baseItem="0"/>
    <dataField name="Sum of Net Amount (Inc. GST) " fld="1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4199-1BC7-49EE-8A91-99106852503C}">
  <dimension ref="A1:O69"/>
  <sheetViews>
    <sheetView tabSelected="1" workbookViewId="0">
      <selection activeCell="A60" sqref="A60:XFD60"/>
    </sheetView>
  </sheetViews>
  <sheetFormatPr defaultRowHeight="14.5" x14ac:dyDescent="0.35"/>
  <cols>
    <col min="1" max="1" width="15.90625" bestFit="1" customWidth="1"/>
    <col min="2" max="2" width="26" bestFit="1" customWidth="1"/>
    <col min="3" max="3" width="27" bestFit="1" customWidth="1"/>
    <col min="4" max="4" width="22.08984375" customWidth="1"/>
    <col min="8" max="8" width="9.453125" bestFit="1" customWidth="1"/>
  </cols>
  <sheetData>
    <row r="1" spans="1:15" ht="33.5" x14ac:dyDescent="0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x14ac:dyDescent="0.35">
      <c r="A2" t="s">
        <v>1</v>
      </c>
      <c r="B2" t="s">
        <v>2</v>
      </c>
    </row>
    <row r="4" spans="1:15" x14ac:dyDescent="0.35">
      <c r="A4" t="s">
        <v>3</v>
      </c>
      <c r="B4" t="s">
        <v>4</v>
      </c>
      <c r="C4" t="s">
        <v>5</v>
      </c>
    </row>
    <row r="5" spans="1:15" x14ac:dyDescent="0.35">
      <c r="A5" s="2" t="s">
        <v>6</v>
      </c>
      <c r="B5" s="3">
        <v>3756.3531200000007</v>
      </c>
      <c r="C5" s="3">
        <v>4094.4249007999997</v>
      </c>
    </row>
    <row r="6" spans="1:15" x14ac:dyDescent="0.35">
      <c r="A6" s="4" t="s">
        <v>7</v>
      </c>
      <c r="B6" s="3">
        <v>562.98663999999997</v>
      </c>
      <c r="C6" s="3">
        <v>613.65543760000003</v>
      </c>
    </row>
    <row r="7" spans="1:15" x14ac:dyDescent="0.35">
      <c r="A7" s="4" t="s">
        <v>8</v>
      </c>
      <c r="B7" s="3">
        <v>801.6854400000002</v>
      </c>
      <c r="C7" s="3">
        <v>873.83712960000003</v>
      </c>
      <c r="D7" s="3">
        <f>SUM(O17:O80)</f>
        <v>4094.4249007999997</v>
      </c>
    </row>
    <row r="8" spans="1:15" x14ac:dyDescent="0.35">
      <c r="A8" s="4" t="s">
        <v>9</v>
      </c>
      <c r="B8" s="3">
        <v>349.26640000000003</v>
      </c>
      <c r="C8" s="3">
        <v>380.70037600000001</v>
      </c>
    </row>
    <row r="9" spans="1:15" x14ac:dyDescent="0.35">
      <c r="A9" s="4" t="s">
        <v>10</v>
      </c>
      <c r="B9" s="3">
        <v>516.40528000000006</v>
      </c>
      <c r="C9" s="3">
        <v>562.88175519999993</v>
      </c>
    </row>
    <row r="10" spans="1:15" x14ac:dyDescent="0.35">
      <c r="A10" s="4" t="s">
        <v>11</v>
      </c>
      <c r="B10" s="3">
        <v>733.57104000000004</v>
      </c>
      <c r="C10" s="3">
        <v>799.59243360000005</v>
      </c>
    </row>
    <row r="11" spans="1:15" x14ac:dyDescent="0.35">
      <c r="A11" s="4" t="s">
        <v>12</v>
      </c>
      <c r="B11" s="3">
        <v>353.54896000000002</v>
      </c>
      <c r="C11" s="3">
        <v>385.36836640000001</v>
      </c>
    </row>
    <row r="12" spans="1:15" x14ac:dyDescent="0.35">
      <c r="A12" s="4" t="s">
        <v>13</v>
      </c>
      <c r="B12" s="3">
        <v>438.88936000000007</v>
      </c>
      <c r="C12" s="3">
        <v>478.38940240000005</v>
      </c>
    </row>
    <row r="13" spans="1:15" ht="35" customHeight="1" x14ac:dyDescent="0.35">
      <c r="A13" s="2" t="s">
        <v>14</v>
      </c>
      <c r="B13" s="3">
        <v>3756.3531200000007</v>
      </c>
      <c r="C13" s="3">
        <v>4094.4249007999997</v>
      </c>
      <c r="O13" s="5"/>
    </row>
    <row r="14" spans="1:15" ht="35" customHeight="1" x14ac:dyDescent="0.35">
      <c r="A14" s="2"/>
      <c r="B14" s="3"/>
      <c r="C14" s="3"/>
      <c r="O14" s="5"/>
    </row>
    <row r="15" spans="1:15" ht="35" customHeight="1" x14ac:dyDescent="0.35">
      <c r="A15" s="2"/>
      <c r="B15" s="3"/>
      <c r="C15" s="3"/>
      <c r="O15" s="5"/>
    </row>
    <row r="16" spans="1:15" ht="35" customHeight="1" x14ac:dyDescent="0.35">
      <c r="A16" s="5" t="s">
        <v>1</v>
      </c>
      <c r="B16" s="5" t="s">
        <v>15</v>
      </c>
      <c r="C16" s="5" t="s">
        <v>16</v>
      </c>
      <c r="D16" s="5" t="s">
        <v>17</v>
      </c>
      <c r="E16" s="5" t="s">
        <v>18</v>
      </c>
      <c r="F16" s="5" t="s">
        <v>19</v>
      </c>
      <c r="G16" s="5" t="s">
        <v>20</v>
      </c>
      <c r="H16" s="5" t="s">
        <v>21</v>
      </c>
      <c r="I16" s="5" t="s">
        <v>22</v>
      </c>
      <c r="J16" s="5" t="s">
        <v>23</v>
      </c>
      <c r="K16" s="5" t="s">
        <v>24</v>
      </c>
      <c r="L16" s="5" t="s">
        <v>25</v>
      </c>
      <c r="M16" t="s">
        <v>26</v>
      </c>
      <c r="N16" s="5" t="s">
        <v>27</v>
      </c>
      <c r="O16" s="5" t="s">
        <v>28</v>
      </c>
    </row>
    <row r="17" spans="1:15" x14ac:dyDescent="0.35">
      <c r="A17" t="s">
        <v>2</v>
      </c>
      <c r="B17" t="s">
        <v>29</v>
      </c>
      <c r="D17" t="s">
        <v>8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s="3">
        <v>2.536</v>
      </c>
      <c r="M17" s="3">
        <v>10.5264288</v>
      </c>
      <c r="N17" s="3">
        <v>116.96032</v>
      </c>
      <c r="O17" s="3">
        <v>127.4867488</v>
      </c>
    </row>
    <row r="18" spans="1:15" x14ac:dyDescent="0.35">
      <c r="A18" t="s">
        <v>2</v>
      </c>
      <c r="B18" t="s">
        <v>37</v>
      </c>
      <c r="D18" t="s">
        <v>7</v>
      </c>
      <c r="E18" t="s">
        <v>38</v>
      </c>
      <c r="F18" t="s">
        <v>39</v>
      </c>
      <c r="G18" t="s">
        <v>32</v>
      </c>
      <c r="H18" t="s">
        <v>40</v>
      </c>
      <c r="I18" t="s">
        <v>41</v>
      </c>
      <c r="J18" t="s">
        <v>42</v>
      </c>
      <c r="K18" t="s">
        <v>36</v>
      </c>
      <c r="L18" s="3">
        <v>2.536</v>
      </c>
      <c r="M18" s="3">
        <v>8.1139320000000001</v>
      </c>
      <c r="N18" s="3">
        <v>90.154799999999994</v>
      </c>
      <c r="O18" s="3">
        <v>98.268732</v>
      </c>
    </row>
    <row r="19" spans="1:15" x14ac:dyDescent="0.35">
      <c r="A19" t="s">
        <v>2</v>
      </c>
      <c r="B19" t="s">
        <v>43</v>
      </c>
      <c r="D19" t="s">
        <v>11</v>
      </c>
      <c r="E19" t="s">
        <v>44</v>
      </c>
      <c r="F19" t="s">
        <v>45</v>
      </c>
      <c r="G19" t="s">
        <v>32</v>
      </c>
      <c r="H19" t="s">
        <v>40</v>
      </c>
      <c r="I19" t="s">
        <v>46</v>
      </c>
      <c r="J19" t="s">
        <v>47</v>
      </c>
      <c r="K19" t="s">
        <v>36</v>
      </c>
      <c r="L19" s="3">
        <v>2.536</v>
      </c>
      <c r="M19" s="3">
        <v>8.1458855999999997</v>
      </c>
      <c r="N19" s="3">
        <v>90.509839999999997</v>
      </c>
      <c r="O19" s="3">
        <v>98.655725599999997</v>
      </c>
    </row>
    <row r="20" spans="1:15" x14ac:dyDescent="0.35">
      <c r="A20" t="s">
        <v>2</v>
      </c>
      <c r="B20" t="s">
        <v>48</v>
      </c>
      <c r="D20" t="s">
        <v>9</v>
      </c>
      <c r="E20" t="s">
        <v>38</v>
      </c>
      <c r="F20" t="s">
        <v>49</v>
      </c>
      <c r="G20" t="s">
        <v>32</v>
      </c>
      <c r="H20" t="s">
        <v>50</v>
      </c>
      <c r="I20" t="s">
        <v>51</v>
      </c>
      <c r="J20" t="s">
        <v>52</v>
      </c>
      <c r="K20" t="s">
        <v>36</v>
      </c>
      <c r="L20" s="3">
        <v>2.536</v>
      </c>
      <c r="M20" s="3">
        <v>6.9133895999999995</v>
      </c>
      <c r="N20" s="3">
        <v>76.815439999999995</v>
      </c>
      <c r="O20" s="3">
        <v>83.728829599999997</v>
      </c>
    </row>
    <row r="21" spans="1:15" x14ac:dyDescent="0.35">
      <c r="A21" t="s">
        <v>2</v>
      </c>
      <c r="B21" t="s">
        <v>29</v>
      </c>
      <c r="D21" t="s">
        <v>8</v>
      </c>
      <c r="E21" t="s">
        <v>53</v>
      </c>
      <c r="F21" t="s">
        <v>54</v>
      </c>
      <c r="G21" t="s">
        <v>32</v>
      </c>
      <c r="H21" t="s">
        <v>55</v>
      </c>
      <c r="I21" t="s">
        <v>56</v>
      </c>
      <c r="J21" t="s">
        <v>57</v>
      </c>
      <c r="K21" t="s">
        <v>58</v>
      </c>
      <c r="L21" s="3">
        <v>2.5440000000000005</v>
      </c>
      <c r="M21" s="3">
        <v>9.3804912000000016</v>
      </c>
      <c r="N21" s="3">
        <v>104.22768000000002</v>
      </c>
      <c r="O21" s="3">
        <v>113.60817120000002</v>
      </c>
    </row>
    <row r="22" spans="1:15" x14ac:dyDescent="0.35">
      <c r="A22" t="s">
        <v>2</v>
      </c>
      <c r="B22" t="s">
        <v>59</v>
      </c>
      <c r="D22" t="s">
        <v>12</v>
      </c>
      <c r="E22" t="s">
        <v>60</v>
      </c>
      <c r="F22" t="s">
        <v>61</v>
      </c>
      <c r="G22" t="s">
        <v>62</v>
      </c>
      <c r="H22" t="s">
        <v>55</v>
      </c>
      <c r="I22" t="s">
        <v>63</v>
      </c>
      <c r="J22" t="s">
        <v>64</v>
      </c>
      <c r="K22" t="s">
        <v>65</v>
      </c>
      <c r="L22" s="3">
        <v>2.92</v>
      </c>
      <c r="M22" s="3">
        <v>9.1612079999999985</v>
      </c>
      <c r="N22" s="3">
        <v>101.79119999999999</v>
      </c>
      <c r="O22" s="3">
        <v>110.95240799999999</v>
      </c>
    </row>
    <row r="23" spans="1:15" x14ac:dyDescent="0.35">
      <c r="A23" t="s">
        <v>2</v>
      </c>
      <c r="B23" t="s">
        <v>66</v>
      </c>
      <c r="D23" t="s">
        <v>13</v>
      </c>
      <c r="E23" t="s">
        <v>67</v>
      </c>
      <c r="F23" t="s">
        <v>68</v>
      </c>
      <c r="G23" t="s">
        <v>32</v>
      </c>
      <c r="H23" t="s">
        <v>69</v>
      </c>
      <c r="I23" t="s">
        <v>70</v>
      </c>
      <c r="J23" t="s">
        <v>42</v>
      </c>
      <c r="K23" t="s">
        <v>36</v>
      </c>
      <c r="L23" s="3">
        <v>2.536</v>
      </c>
      <c r="M23" s="3">
        <v>8.1139320000000001</v>
      </c>
      <c r="N23" s="3">
        <v>90.154799999999994</v>
      </c>
      <c r="O23" s="3">
        <v>98.268732</v>
      </c>
    </row>
    <row r="24" spans="1:15" x14ac:dyDescent="0.35">
      <c r="A24" t="s">
        <v>2</v>
      </c>
      <c r="B24" t="s">
        <v>37</v>
      </c>
      <c r="D24" t="s">
        <v>7</v>
      </c>
      <c r="E24" t="s">
        <v>71</v>
      </c>
      <c r="F24" t="s">
        <v>72</v>
      </c>
      <c r="G24" t="s">
        <v>32</v>
      </c>
      <c r="H24" t="s">
        <v>73</v>
      </c>
      <c r="I24" t="s">
        <v>74</v>
      </c>
      <c r="J24" t="s">
        <v>75</v>
      </c>
      <c r="K24" t="s">
        <v>36</v>
      </c>
      <c r="L24" s="3">
        <v>2.536</v>
      </c>
      <c r="M24" s="3">
        <v>8.5932359999999992</v>
      </c>
      <c r="N24" s="3">
        <v>95.480400000000003</v>
      </c>
      <c r="O24" s="3">
        <v>104.07363600000001</v>
      </c>
    </row>
    <row r="25" spans="1:15" x14ac:dyDescent="0.35">
      <c r="A25" t="s">
        <v>2</v>
      </c>
      <c r="B25" t="s">
        <v>43</v>
      </c>
      <c r="D25" t="s">
        <v>11</v>
      </c>
      <c r="E25" t="s">
        <v>30</v>
      </c>
      <c r="F25" t="s">
        <v>76</v>
      </c>
      <c r="G25" t="s">
        <v>32</v>
      </c>
      <c r="H25" t="s">
        <v>73</v>
      </c>
      <c r="I25" t="s">
        <v>77</v>
      </c>
      <c r="J25" t="s">
        <v>78</v>
      </c>
      <c r="K25" t="s">
        <v>36</v>
      </c>
      <c r="L25" s="3">
        <v>2.536</v>
      </c>
      <c r="M25" s="3">
        <v>8.0386127999999992</v>
      </c>
      <c r="N25" s="3">
        <v>89.317920000000001</v>
      </c>
      <c r="O25" s="3">
        <v>97.356532799999997</v>
      </c>
    </row>
    <row r="26" spans="1:15" x14ac:dyDescent="0.35">
      <c r="A26" t="s">
        <v>2</v>
      </c>
      <c r="B26" t="s">
        <v>79</v>
      </c>
      <c r="D26" t="s">
        <v>10</v>
      </c>
      <c r="E26" t="s">
        <v>30</v>
      </c>
      <c r="F26" t="s">
        <v>80</v>
      </c>
      <c r="G26" t="s">
        <v>32</v>
      </c>
      <c r="H26" t="s">
        <v>81</v>
      </c>
      <c r="I26" t="s">
        <v>82</v>
      </c>
      <c r="J26" t="s">
        <v>83</v>
      </c>
      <c r="K26" t="s">
        <v>36</v>
      </c>
      <c r="L26" s="3">
        <v>2.536</v>
      </c>
      <c r="M26" s="3">
        <v>6.5984183999999999</v>
      </c>
      <c r="N26" s="3">
        <v>73.315759999999997</v>
      </c>
      <c r="O26" s="3">
        <v>79.914178399999997</v>
      </c>
    </row>
    <row r="27" spans="1:15" x14ac:dyDescent="0.35">
      <c r="A27" t="s">
        <v>2</v>
      </c>
      <c r="B27" t="s">
        <v>29</v>
      </c>
      <c r="D27" t="s">
        <v>8</v>
      </c>
      <c r="E27" t="s">
        <v>53</v>
      </c>
      <c r="F27" t="s">
        <v>84</v>
      </c>
      <c r="G27" t="s">
        <v>32</v>
      </c>
      <c r="H27" t="s">
        <v>85</v>
      </c>
      <c r="I27" t="s">
        <v>86</v>
      </c>
      <c r="J27" t="s">
        <v>87</v>
      </c>
      <c r="K27" t="s">
        <v>36</v>
      </c>
      <c r="L27" s="3">
        <v>2.536</v>
      </c>
      <c r="M27" s="3">
        <v>9.1227527999999989</v>
      </c>
      <c r="N27" s="3">
        <v>101.36391999999999</v>
      </c>
      <c r="O27" s="3">
        <v>110.48667279999999</v>
      </c>
    </row>
    <row r="28" spans="1:15" x14ac:dyDescent="0.35">
      <c r="A28" t="s">
        <v>2</v>
      </c>
      <c r="B28" t="s">
        <v>48</v>
      </c>
      <c r="D28" t="s">
        <v>9</v>
      </c>
      <c r="E28" t="s">
        <v>38</v>
      </c>
      <c r="F28" t="s">
        <v>88</v>
      </c>
      <c r="G28" t="s">
        <v>32</v>
      </c>
      <c r="H28" t="s">
        <v>85</v>
      </c>
      <c r="I28" t="s">
        <v>89</v>
      </c>
      <c r="J28" t="s">
        <v>90</v>
      </c>
      <c r="K28" t="s">
        <v>36</v>
      </c>
      <c r="L28" s="3">
        <v>2.536</v>
      </c>
      <c r="M28" s="3">
        <v>6.5436408000000004</v>
      </c>
      <c r="N28" s="3">
        <v>72.707120000000003</v>
      </c>
      <c r="O28" s="3">
        <v>79.250760800000009</v>
      </c>
    </row>
    <row r="29" spans="1:15" x14ac:dyDescent="0.35">
      <c r="A29" t="s">
        <v>2</v>
      </c>
      <c r="B29" t="s">
        <v>79</v>
      </c>
      <c r="D29" t="s">
        <v>10</v>
      </c>
      <c r="E29" t="s">
        <v>30</v>
      </c>
      <c r="F29" t="s">
        <v>91</v>
      </c>
      <c r="G29" t="s">
        <v>32</v>
      </c>
      <c r="H29" t="s">
        <v>92</v>
      </c>
      <c r="I29" t="s">
        <v>93</v>
      </c>
      <c r="J29" t="s">
        <v>83</v>
      </c>
      <c r="K29" t="s">
        <v>36</v>
      </c>
      <c r="L29" s="3">
        <v>2.536</v>
      </c>
      <c r="M29" s="3">
        <v>6.5984183999999999</v>
      </c>
      <c r="N29" s="3">
        <v>73.315759999999997</v>
      </c>
      <c r="O29" s="3">
        <v>79.914178399999997</v>
      </c>
    </row>
    <row r="30" spans="1:15" x14ac:dyDescent="0.35">
      <c r="A30" t="s">
        <v>2</v>
      </c>
      <c r="B30" t="s">
        <v>43</v>
      </c>
      <c r="D30" t="s">
        <v>11</v>
      </c>
      <c r="E30" t="s">
        <v>44</v>
      </c>
      <c r="F30" t="s">
        <v>94</v>
      </c>
      <c r="G30" t="s">
        <v>32</v>
      </c>
      <c r="H30" t="s">
        <v>92</v>
      </c>
      <c r="I30" t="s">
        <v>95</v>
      </c>
      <c r="J30" t="s">
        <v>96</v>
      </c>
      <c r="K30" t="s">
        <v>58</v>
      </c>
      <c r="L30" s="3">
        <v>2.5440000000000005</v>
      </c>
      <c r="M30" s="3">
        <v>7.5831552000000002</v>
      </c>
      <c r="N30" s="3">
        <v>84.257280000000009</v>
      </c>
      <c r="O30" s="3">
        <v>91.840435200000002</v>
      </c>
    </row>
    <row r="31" spans="1:15" x14ac:dyDescent="0.35">
      <c r="A31" t="s">
        <v>2</v>
      </c>
      <c r="B31" t="s">
        <v>29</v>
      </c>
      <c r="D31" t="s">
        <v>8</v>
      </c>
      <c r="E31" t="s">
        <v>53</v>
      </c>
      <c r="F31" t="s">
        <v>97</v>
      </c>
      <c r="G31" t="s">
        <v>32</v>
      </c>
      <c r="H31" t="s">
        <v>98</v>
      </c>
      <c r="I31" t="s">
        <v>99</v>
      </c>
      <c r="J31" t="s">
        <v>100</v>
      </c>
      <c r="K31" t="s">
        <v>36</v>
      </c>
      <c r="L31" s="3">
        <v>2.536</v>
      </c>
      <c r="M31" s="3">
        <v>5.4480887999999998</v>
      </c>
      <c r="N31" s="3">
        <v>60.534320000000001</v>
      </c>
      <c r="O31" s="3">
        <v>65.982408800000002</v>
      </c>
    </row>
    <row r="32" spans="1:15" x14ac:dyDescent="0.35">
      <c r="A32" t="s">
        <v>2</v>
      </c>
      <c r="B32" t="s">
        <v>37</v>
      </c>
      <c r="D32" t="s">
        <v>7</v>
      </c>
      <c r="E32" t="s">
        <v>101</v>
      </c>
      <c r="F32" t="s">
        <v>102</v>
      </c>
      <c r="G32" t="s">
        <v>32</v>
      </c>
      <c r="H32" t="s">
        <v>98</v>
      </c>
      <c r="I32" t="s">
        <v>103</v>
      </c>
      <c r="J32" t="s">
        <v>104</v>
      </c>
      <c r="K32" t="s">
        <v>36</v>
      </c>
      <c r="L32" s="3">
        <v>2.536</v>
      </c>
      <c r="M32" s="3">
        <v>8.5772592000000003</v>
      </c>
      <c r="N32" s="3">
        <v>95.302880000000002</v>
      </c>
      <c r="O32" s="3">
        <v>103.8801392</v>
      </c>
    </row>
    <row r="33" spans="1:15" x14ac:dyDescent="0.35">
      <c r="A33" t="s">
        <v>2</v>
      </c>
      <c r="B33" t="s">
        <v>59</v>
      </c>
      <c r="D33" t="s">
        <v>12</v>
      </c>
      <c r="E33" t="s">
        <v>101</v>
      </c>
      <c r="F33" t="s">
        <v>105</v>
      </c>
      <c r="G33" t="s">
        <v>32</v>
      </c>
      <c r="H33" t="s">
        <v>98</v>
      </c>
      <c r="I33" t="s">
        <v>106</v>
      </c>
      <c r="J33" t="s">
        <v>107</v>
      </c>
      <c r="K33" t="s">
        <v>36</v>
      </c>
      <c r="L33" s="3">
        <v>2.536</v>
      </c>
      <c r="M33" s="3">
        <v>8.326195199999999</v>
      </c>
      <c r="N33" s="3">
        <v>92.513279999999995</v>
      </c>
      <c r="O33" s="3">
        <v>100.8394752</v>
      </c>
    </row>
    <row r="34" spans="1:15" x14ac:dyDescent="0.35">
      <c r="A34" t="s">
        <v>2</v>
      </c>
      <c r="B34" t="s">
        <v>43</v>
      </c>
      <c r="D34" t="s">
        <v>11</v>
      </c>
      <c r="E34" t="s">
        <v>44</v>
      </c>
      <c r="F34" t="s">
        <v>108</v>
      </c>
      <c r="G34" t="s">
        <v>32</v>
      </c>
      <c r="H34" t="s">
        <v>109</v>
      </c>
      <c r="I34" t="s">
        <v>110</v>
      </c>
      <c r="J34" t="s">
        <v>111</v>
      </c>
      <c r="K34" t="s">
        <v>36</v>
      </c>
      <c r="L34" s="3">
        <v>2.536</v>
      </c>
      <c r="M34" s="3">
        <v>9.0679751999999993</v>
      </c>
      <c r="N34" s="3">
        <v>100.75528</v>
      </c>
      <c r="O34" s="3">
        <v>109.82325520000001</v>
      </c>
    </row>
    <row r="35" spans="1:15" x14ac:dyDescent="0.35">
      <c r="A35" t="s">
        <v>2</v>
      </c>
      <c r="B35" t="s">
        <v>66</v>
      </c>
      <c r="D35" t="s">
        <v>13</v>
      </c>
      <c r="E35" t="s">
        <v>112</v>
      </c>
      <c r="F35" t="s">
        <v>113</v>
      </c>
      <c r="G35" t="s">
        <v>32</v>
      </c>
      <c r="H35" t="s">
        <v>114</v>
      </c>
      <c r="I35" t="s">
        <v>115</v>
      </c>
      <c r="J35" t="s">
        <v>116</v>
      </c>
      <c r="K35" t="s">
        <v>36</v>
      </c>
      <c r="L35" s="3">
        <v>2.536</v>
      </c>
      <c r="M35" s="3">
        <v>8.778110400000001</v>
      </c>
      <c r="N35" s="3">
        <v>97.534559999999999</v>
      </c>
      <c r="O35" s="3">
        <v>106.3126704</v>
      </c>
    </row>
    <row r="36" spans="1:15" x14ac:dyDescent="0.35">
      <c r="A36" t="s">
        <v>2</v>
      </c>
      <c r="B36" t="s">
        <v>79</v>
      </c>
      <c r="D36" t="s">
        <v>10</v>
      </c>
      <c r="E36" t="s">
        <v>117</v>
      </c>
      <c r="F36" t="s">
        <v>118</v>
      </c>
      <c r="G36" t="s">
        <v>32</v>
      </c>
      <c r="H36" t="s">
        <v>119</v>
      </c>
      <c r="I36" t="s">
        <v>120</v>
      </c>
      <c r="J36" t="s">
        <v>121</v>
      </c>
      <c r="K36" t="s">
        <v>36</v>
      </c>
      <c r="L36" s="3">
        <v>2.536</v>
      </c>
      <c r="M36" s="3">
        <v>6.8494824000000003</v>
      </c>
      <c r="N36" s="3">
        <v>76.105360000000005</v>
      </c>
      <c r="O36" s="3">
        <v>82.954842400000004</v>
      </c>
    </row>
    <row r="37" spans="1:15" x14ac:dyDescent="0.35">
      <c r="A37" t="s">
        <v>2</v>
      </c>
      <c r="B37" t="s">
        <v>48</v>
      </c>
      <c r="D37" t="s">
        <v>9</v>
      </c>
      <c r="E37" t="s">
        <v>38</v>
      </c>
      <c r="F37" t="s">
        <v>122</v>
      </c>
      <c r="G37" t="s">
        <v>32</v>
      </c>
      <c r="H37" t="s">
        <v>123</v>
      </c>
      <c r="I37" t="s">
        <v>124</v>
      </c>
      <c r="J37" t="s">
        <v>125</v>
      </c>
      <c r="K37" t="s">
        <v>36</v>
      </c>
      <c r="L37" s="3">
        <v>2.536</v>
      </c>
      <c r="M37" s="3">
        <v>6.1122671999999998</v>
      </c>
      <c r="N37" s="3">
        <v>67.914079999999998</v>
      </c>
      <c r="O37" s="3">
        <v>74.026347200000004</v>
      </c>
    </row>
    <row r="38" spans="1:15" x14ac:dyDescent="0.35">
      <c r="A38" t="s">
        <v>2</v>
      </c>
      <c r="B38" t="s">
        <v>37</v>
      </c>
      <c r="D38" t="s">
        <v>7</v>
      </c>
      <c r="E38" t="s">
        <v>101</v>
      </c>
      <c r="F38" t="s">
        <v>126</v>
      </c>
      <c r="G38" t="s">
        <v>32</v>
      </c>
      <c r="H38" t="s">
        <v>123</v>
      </c>
      <c r="I38" t="s">
        <v>127</v>
      </c>
      <c r="J38" t="s">
        <v>128</v>
      </c>
      <c r="K38" t="s">
        <v>36</v>
      </c>
      <c r="L38" s="3">
        <v>2.536</v>
      </c>
      <c r="M38" s="3">
        <v>8.6114951999999985</v>
      </c>
      <c r="N38" s="3">
        <v>95.683279999999996</v>
      </c>
      <c r="O38" s="3">
        <v>104.29477519999999</v>
      </c>
    </row>
    <row r="39" spans="1:15" x14ac:dyDescent="0.35">
      <c r="A39" t="s">
        <v>2</v>
      </c>
      <c r="B39" t="s">
        <v>29</v>
      </c>
      <c r="D39" t="s">
        <v>8</v>
      </c>
      <c r="E39" t="s">
        <v>129</v>
      </c>
      <c r="F39" t="s">
        <v>130</v>
      </c>
      <c r="G39" t="s">
        <v>32</v>
      </c>
      <c r="H39" t="s">
        <v>123</v>
      </c>
      <c r="I39" t="s">
        <v>131</v>
      </c>
      <c r="J39" t="s">
        <v>132</v>
      </c>
      <c r="K39" t="s">
        <v>36</v>
      </c>
      <c r="L39" s="3">
        <v>2.536</v>
      </c>
      <c r="M39" s="3">
        <v>10.7455392</v>
      </c>
      <c r="N39" s="3">
        <v>119.39488</v>
      </c>
      <c r="O39" s="3">
        <v>130.1404192</v>
      </c>
    </row>
    <row r="40" spans="1:15" x14ac:dyDescent="0.35">
      <c r="A40" t="s">
        <v>2</v>
      </c>
      <c r="B40" t="s">
        <v>43</v>
      </c>
      <c r="D40" t="s">
        <v>11</v>
      </c>
      <c r="E40" t="s">
        <v>30</v>
      </c>
      <c r="F40" t="s">
        <v>133</v>
      </c>
      <c r="G40" t="s">
        <v>32</v>
      </c>
      <c r="H40" t="s">
        <v>123</v>
      </c>
      <c r="I40" t="s">
        <v>134</v>
      </c>
      <c r="J40" t="s">
        <v>135</v>
      </c>
      <c r="K40" t="s">
        <v>58</v>
      </c>
      <c r="L40" s="3">
        <v>2.5440000000000005</v>
      </c>
      <c r="M40" s="3">
        <v>8.2265328000000011</v>
      </c>
      <c r="N40" s="3">
        <v>91.405920000000023</v>
      </c>
      <c r="O40" s="3">
        <v>99.632452800000024</v>
      </c>
    </row>
    <row r="41" spans="1:15" x14ac:dyDescent="0.35">
      <c r="A41" t="s">
        <v>2</v>
      </c>
      <c r="B41" t="s">
        <v>59</v>
      </c>
      <c r="D41" t="s">
        <v>12</v>
      </c>
      <c r="E41" t="s">
        <v>136</v>
      </c>
      <c r="F41" t="s">
        <v>137</v>
      </c>
      <c r="G41" t="s">
        <v>32</v>
      </c>
      <c r="H41" t="s">
        <v>138</v>
      </c>
      <c r="I41" t="s">
        <v>139</v>
      </c>
      <c r="J41" t="s">
        <v>140</v>
      </c>
      <c r="K41" t="s">
        <v>36</v>
      </c>
      <c r="L41" s="3">
        <v>2.536</v>
      </c>
      <c r="M41" s="3">
        <v>8.4448799999999995</v>
      </c>
      <c r="N41" s="3">
        <v>93.832000000000008</v>
      </c>
      <c r="O41" s="3">
        <v>102.27688000000001</v>
      </c>
    </row>
    <row r="42" spans="1:15" x14ac:dyDescent="0.35">
      <c r="A42" t="s">
        <v>2</v>
      </c>
      <c r="B42" t="s">
        <v>79</v>
      </c>
      <c r="D42" t="s">
        <v>10</v>
      </c>
      <c r="E42" t="s">
        <v>30</v>
      </c>
      <c r="F42" t="s">
        <v>141</v>
      </c>
      <c r="G42" t="s">
        <v>32</v>
      </c>
      <c r="H42" t="s">
        <v>138</v>
      </c>
      <c r="I42" t="s">
        <v>142</v>
      </c>
      <c r="J42" t="s">
        <v>83</v>
      </c>
      <c r="K42" t="s">
        <v>36</v>
      </c>
      <c r="L42" s="3">
        <v>2.536</v>
      </c>
      <c r="M42" s="3">
        <v>6.5984183999999999</v>
      </c>
      <c r="N42" s="3">
        <v>73.315759999999997</v>
      </c>
      <c r="O42" s="3">
        <v>79.914178399999997</v>
      </c>
    </row>
    <row r="43" spans="1:15" x14ac:dyDescent="0.35">
      <c r="A43" t="s">
        <v>2</v>
      </c>
      <c r="B43" t="s">
        <v>43</v>
      </c>
      <c r="D43" t="s">
        <v>11</v>
      </c>
      <c r="E43" t="s">
        <v>44</v>
      </c>
      <c r="F43" t="s">
        <v>143</v>
      </c>
      <c r="G43" t="s">
        <v>32</v>
      </c>
      <c r="H43" t="s">
        <v>144</v>
      </c>
      <c r="I43" t="s">
        <v>145</v>
      </c>
      <c r="J43" t="s">
        <v>146</v>
      </c>
      <c r="K43" t="s">
        <v>147</v>
      </c>
      <c r="L43" s="3">
        <v>2.5120000000000005</v>
      </c>
      <c r="M43" s="3">
        <v>8.7492960000000011</v>
      </c>
      <c r="N43" s="3">
        <v>97.214400000000026</v>
      </c>
      <c r="O43" s="3">
        <v>105.96369600000003</v>
      </c>
    </row>
    <row r="44" spans="1:15" x14ac:dyDescent="0.35">
      <c r="A44" t="s">
        <v>2</v>
      </c>
      <c r="B44" t="s">
        <v>66</v>
      </c>
      <c r="D44" t="s">
        <v>13</v>
      </c>
      <c r="E44" t="s">
        <v>67</v>
      </c>
      <c r="F44" t="s">
        <v>148</v>
      </c>
      <c r="G44" t="s">
        <v>32</v>
      </c>
      <c r="H44" t="s">
        <v>144</v>
      </c>
      <c r="I44" t="s">
        <v>149</v>
      </c>
      <c r="J44" t="s">
        <v>150</v>
      </c>
      <c r="K44" t="s">
        <v>147</v>
      </c>
      <c r="L44" s="3">
        <v>2.5120000000000005</v>
      </c>
      <c r="M44" s="3">
        <v>8.6362560000000013</v>
      </c>
      <c r="N44" s="3">
        <v>95.958400000000026</v>
      </c>
      <c r="O44" s="3">
        <v>104.59465600000003</v>
      </c>
    </row>
    <row r="45" spans="1:15" x14ac:dyDescent="0.35">
      <c r="A45" t="s">
        <v>2</v>
      </c>
      <c r="B45" t="s">
        <v>48</v>
      </c>
      <c r="D45" t="s">
        <v>9</v>
      </c>
      <c r="E45" t="s">
        <v>151</v>
      </c>
      <c r="F45" t="s">
        <v>152</v>
      </c>
      <c r="G45" t="s">
        <v>32</v>
      </c>
      <c r="H45" t="s">
        <v>153</v>
      </c>
      <c r="I45" t="s">
        <v>154</v>
      </c>
      <c r="J45" t="s">
        <v>155</v>
      </c>
      <c r="K45" t="s">
        <v>147</v>
      </c>
      <c r="L45" s="3">
        <v>2.5120000000000005</v>
      </c>
      <c r="M45" s="3">
        <v>5.4213984000000011</v>
      </c>
      <c r="N45" s="3">
        <v>60.237760000000009</v>
      </c>
      <c r="O45" s="3">
        <v>65.65915840000001</v>
      </c>
    </row>
    <row r="46" spans="1:15" x14ac:dyDescent="0.35">
      <c r="A46" t="s">
        <v>2</v>
      </c>
      <c r="B46" t="s">
        <v>79</v>
      </c>
      <c r="D46" t="s">
        <v>10</v>
      </c>
      <c r="E46" t="s">
        <v>129</v>
      </c>
      <c r="F46" t="s">
        <v>156</v>
      </c>
      <c r="G46" t="s">
        <v>32</v>
      </c>
      <c r="H46" t="s">
        <v>153</v>
      </c>
      <c r="I46" t="s">
        <v>157</v>
      </c>
      <c r="J46" t="s">
        <v>158</v>
      </c>
      <c r="K46" t="s">
        <v>147</v>
      </c>
      <c r="L46" s="3">
        <v>2.5120000000000005</v>
      </c>
      <c r="M46" s="3">
        <v>6.610579200000001</v>
      </c>
      <c r="N46" s="3">
        <v>73.450880000000012</v>
      </c>
      <c r="O46" s="3">
        <v>80.061459200000016</v>
      </c>
    </row>
    <row r="47" spans="1:15" x14ac:dyDescent="0.35">
      <c r="A47" t="s">
        <v>2</v>
      </c>
      <c r="B47" t="s">
        <v>37</v>
      </c>
      <c r="D47" t="s">
        <v>7</v>
      </c>
      <c r="E47" t="s">
        <v>101</v>
      </c>
      <c r="F47" t="s">
        <v>159</v>
      </c>
      <c r="G47" t="s">
        <v>32</v>
      </c>
      <c r="H47" t="s">
        <v>160</v>
      </c>
      <c r="I47" t="s">
        <v>161</v>
      </c>
      <c r="J47" t="s">
        <v>162</v>
      </c>
      <c r="K47" t="s">
        <v>147</v>
      </c>
      <c r="L47" s="3">
        <v>2.5120000000000005</v>
      </c>
      <c r="M47" s="3">
        <v>7.9806240000000006</v>
      </c>
      <c r="N47" s="3">
        <v>88.673600000000008</v>
      </c>
      <c r="O47" s="3">
        <v>96.654224000000013</v>
      </c>
    </row>
    <row r="48" spans="1:15" x14ac:dyDescent="0.35">
      <c r="A48" t="s">
        <v>2</v>
      </c>
      <c r="B48" t="s">
        <v>43</v>
      </c>
      <c r="D48" t="s">
        <v>11</v>
      </c>
      <c r="E48" t="s">
        <v>71</v>
      </c>
      <c r="F48" t="s">
        <v>163</v>
      </c>
      <c r="G48" t="s">
        <v>32</v>
      </c>
      <c r="H48" t="s">
        <v>160</v>
      </c>
      <c r="I48" t="s">
        <v>164</v>
      </c>
      <c r="J48" t="s">
        <v>165</v>
      </c>
      <c r="K48" t="s">
        <v>147</v>
      </c>
      <c r="L48" s="3">
        <v>2.5120000000000005</v>
      </c>
      <c r="M48" s="3">
        <v>8.3853072000000015</v>
      </c>
      <c r="N48" s="3">
        <v>93.170080000000027</v>
      </c>
      <c r="O48" s="3">
        <v>101.55538720000003</v>
      </c>
    </row>
    <row r="49" spans="1:15" x14ac:dyDescent="0.35">
      <c r="A49" t="s">
        <v>2</v>
      </c>
      <c r="B49" t="s">
        <v>29</v>
      </c>
      <c r="D49" t="s">
        <v>8</v>
      </c>
      <c r="E49" t="s">
        <v>53</v>
      </c>
      <c r="F49" t="s">
        <v>166</v>
      </c>
      <c r="G49" t="s">
        <v>32</v>
      </c>
      <c r="H49" t="s">
        <v>167</v>
      </c>
      <c r="I49" t="s">
        <v>168</v>
      </c>
      <c r="J49" t="s">
        <v>169</v>
      </c>
      <c r="K49" t="s">
        <v>147</v>
      </c>
      <c r="L49" s="3">
        <v>2.5120000000000005</v>
      </c>
      <c r="M49" s="3">
        <v>10.838275200000002</v>
      </c>
      <c r="N49" s="3">
        <v>120.42528000000001</v>
      </c>
      <c r="O49" s="3">
        <v>131.26355520000001</v>
      </c>
    </row>
    <row r="50" spans="1:15" x14ac:dyDescent="0.35">
      <c r="A50" t="s">
        <v>2</v>
      </c>
      <c r="B50" t="s">
        <v>59</v>
      </c>
      <c r="D50" t="s">
        <v>12</v>
      </c>
      <c r="E50" t="s">
        <v>136</v>
      </c>
      <c r="F50" t="s">
        <v>170</v>
      </c>
      <c r="G50" t="s">
        <v>32</v>
      </c>
      <c r="H50" t="s">
        <v>171</v>
      </c>
      <c r="I50" t="s">
        <v>172</v>
      </c>
      <c r="J50" t="s">
        <v>173</v>
      </c>
      <c r="K50" t="s">
        <v>147</v>
      </c>
      <c r="L50" s="3">
        <v>2.5120000000000005</v>
      </c>
      <c r="M50" s="3">
        <v>5.8871232000000004</v>
      </c>
      <c r="N50" s="3">
        <v>65.412480000000016</v>
      </c>
      <c r="O50" s="3">
        <v>71.299603200000021</v>
      </c>
    </row>
    <row r="51" spans="1:15" x14ac:dyDescent="0.35">
      <c r="A51" t="s">
        <v>2</v>
      </c>
      <c r="B51" t="s">
        <v>43</v>
      </c>
      <c r="D51" t="s">
        <v>11</v>
      </c>
      <c r="E51" t="s">
        <v>136</v>
      </c>
      <c r="F51" t="s">
        <v>174</v>
      </c>
      <c r="G51" t="s">
        <v>32</v>
      </c>
      <c r="H51" t="s">
        <v>171</v>
      </c>
      <c r="I51" t="s">
        <v>175</v>
      </c>
      <c r="J51" t="s">
        <v>176</v>
      </c>
      <c r="K51" t="s">
        <v>147</v>
      </c>
      <c r="L51" s="3">
        <v>2.5120000000000005</v>
      </c>
      <c r="M51" s="3">
        <v>7.824628800000001</v>
      </c>
      <c r="N51" s="3">
        <v>86.940320000000014</v>
      </c>
      <c r="O51" s="3">
        <v>94.764948800000013</v>
      </c>
    </row>
    <row r="52" spans="1:15" x14ac:dyDescent="0.35">
      <c r="A52" t="s">
        <v>2</v>
      </c>
      <c r="B52" t="s">
        <v>79</v>
      </c>
      <c r="D52" t="s">
        <v>10</v>
      </c>
      <c r="E52" t="s">
        <v>30</v>
      </c>
      <c r="F52" t="s">
        <v>177</v>
      </c>
      <c r="G52" t="s">
        <v>32</v>
      </c>
      <c r="H52" t="s">
        <v>171</v>
      </c>
      <c r="I52" t="s">
        <v>178</v>
      </c>
      <c r="J52" t="s">
        <v>158</v>
      </c>
      <c r="K52" t="s">
        <v>147</v>
      </c>
      <c r="L52" s="3">
        <v>2.5120000000000005</v>
      </c>
      <c r="M52" s="3">
        <v>6.610579200000001</v>
      </c>
      <c r="N52" s="3">
        <v>73.450880000000012</v>
      </c>
      <c r="O52" s="3">
        <v>80.061459200000016</v>
      </c>
    </row>
    <row r="53" spans="1:15" x14ac:dyDescent="0.35">
      <c r="A53" t="s">
        <v>2</v>
      </c>
      <c r="B53" t="s">
        <v>66</v>
      </c>
      <c r="D53" t="s">
        <v>13</v>
      </c>
      <c r="E53" t="s">
        <v>30</v>
      </c>
      <c r="F53" t="s">
        <v>179</v>
      </c>
      <c r="G53" t="s">
        <v>32</v>
      </c>
      <c r="H53" t="s">
        <v>180</v>
      </c>
      <c r="I53" t="s">
        <v>181</v>
      </c>
      <c r="J53" t="s">
        <v>182</v>
      </c>
      <c r="K53" t="s">
        <v>147</v>
      </c>
      <c r="L53" s="3">
        <v>2.5120000000000005</v>
      </c>
      <c r="M53" s="3">
        <v>8.1275760000000012</v>
      </c>
      <c r="N53" s="3">
        <v>90.306400000000025</v>
      </c>
      <c r="O53" s="3">
        <v>98.43397600000003</v>
      </c>
    </row>
    <row r="54" spans="1:15" x14ac:dyDescent="0.35">
      <c r="A54" t="s">
        <v>2</v>
      </c>
      <c r="B54" t="s">
        <v>29</v>
      </c>
      <c r="D54" t="s">
        <v>8</v>
      </c>
      <c r="E54" t="s">
        <v>53</v>
      </c>
      <c r="F54" t="s">
        <v>183</v>
      </c>
      <c r="G54" t="s">
        <v>32</v>
      </c>
      <c r="H54" t="s">
        <v>184</v>
      </c>
      <c r="I54" t="s">
        <v>185</v>
      </c>
      <c r="J54" t="s">
        <v>186</v>
      </c>
      <c r="K54" t="s">
        <v>147</v>
      </c>
      <c r="L54" s="3">
        <v>2.5120000000000005</v>
      </c>
      <c r="M54" s="3">
        <v>4.9308048000000007</v>
      </c>
      <c r="N54" s="3">
        <v>54.78672000000001</v>
      </c>
      <c r="O54" s="3">
        <v>59.717524800000007</v>
      </c>
    </row>
    <row r="55" spans="1:15" x14ac:dyDescent="0.35">
      <c r="A55" t="s">
        <v>2</v>
      </c>
      <c r="B55" t="s">
        <v>48</v>
      </c>
      <c r="D55" t="s">
        <v>9</v>
      </c>
      <c r="E55" t="s">
        <v>38</v>
      </c>
      <c r="F55" t="s">
        <v>187</v>
      </c>
      <c r="G55" t="s">
        <v>32</v>
      </c>
      <c r="H55" t="s">
        <v>184</v>
      </c>
      <c r="I55" t="s">
        <v>188</v>
      </c>
      <c r="J55" t="s">
        <v>189</v>
      </c>
      <c r="K55" t="s">
        <v>147</v>
      </c>
      <c r="L55" s="3">
        <v>2.5120000000000005</v>
      </c>
      <c r="M55" s="3">
        <v>6.4432800000000006</v>
      </c>
      <c r="N55" s="3">
        <v>71.592000000000013</v>
      </c>
      <c r="O55" s="3">
        <v>78.035280000000014</v>
      </c>
    </row>
    <row r="56" spans="1:15" x14ac:dyDescent="0.35">
      <c r="A56" t="s">
        <v>2</v>
      </c>
      <c r="B56" t="s">
        <v>37</v>
      </c>
      <c r="D56" t="s">
        <v>7</v>
      </c>
      <c r="E56" t="s">
        <v>101</v>
      </c>
      <c r="F56" t="s">
        <v>190</v>
      </c>
      <c r="G56" t="s">
        <v>32</v>
      </c>
      <c r="H56" t="s">
        <v>184</v>
      </c>
      <c r="I56" t="s">
        <v>191</v>
      </c>
      <c r="J56" t="s">
        <v>192</v>
      </c>
      <c r="K56" t="s">
        <v>147</v>
      </c>
      <c r="L56" s="3">
        <v>2.5120000000000005</v>
      </c>
      <c r="M56" s="3">
        <v>8.7922512000000008</v>
      </c>
      <c r="N56" s="3">
        <v>97.691680000000019</v>
      </c>
      <c r="O56" s="3">
        <v>106.48393120000001</v>
      </c>
    </row>
    <row r="57" spans="1:15" x14ac:dyDescent="0.35">
      <c r="A57" t="s">
        <v>2</v>
      </c>
      <c r="B57" t="s">
        <v>79</v>
      </c>
      <c r="D57" t="s">
        <v>10</v>
      </c>
      <c r="E57" t="s">
        <v>193</v>
      </c>
      <c r="F57" t="s">
        <v>194</v>
      </c>
      <c r="G57" t="s">
        <v>32</v>
      </c>
      <c r="H57" t="s">
        <v>184</v>
      </c>
      <c r="I57" t="s">
        <v>195</v>
      </c>
      <c r="J57" t="s">
        <v>158</v>
      </c>
      <c r="K57" t="s">
        <v>147</v>
      </c>
      <c r="L57" s="3">
        <v>2.5120000000000005</v>
      </c>
      <c r="M57" s="3">
        <v>6.610579200000001</v>
      </c>
      <c r="N57" s="3">
        <v>73.450880000000012</v>
      </c>
      <c r="O57" s="3">
        <v>80.061459200000016</v>
      </c>
    </row>
    <row r="58" spans="1:15" x14ac:dyDescent="0.35">
      <c r="A58" t="s">
        <v>2</v>
      </c>
      <c r="B58" t="s">
        <v>66</v>
      </c>
      <c r="D58" t="s">
        <v>13</v>
      </c>
      <c r="E58" t="s">
        <v>30</v>
      </c>
      <c r="F58" t="s">
        <v>196</v>
      </c>
      <c r="G58" t="s">
        <v>32</v>
      </c>
      <c r="H58" t="s">
        <v>197</v>
      </c>
      <c r="I58" t="s">
        <v>198</v>
      </c>
      <c r="J58" t="s">
        <v>199</v>
      </c>
      <c r="K58" t="s">
        <v>147</v>
      </c>
      <c r="L58" s="3">
        <v>2.5120000000000005</v>
      </c>
      <c r="M58" s="3">
        <v>5.8441680000000007</v>
      </c>
      <c r="N58" s="3">
        <v>64.935200000000009</v>
      </c>
      <c r="O58" s="3">
        <v>70.779368000000005</v>
      </c>
    </row>
    <row r="59" spans="1:15" x14ac:dyDescent="0.35">
      <c r="A59" t="s">
        <v>2</v>
      </c>
      <c r="B59" t="s">
        <v>29</v>
      </c>
      <c r="D59" t="s">
        <v>8</v>
      </c>
      <c r="E59" t="s">
        <v>53</v>
      </c>
      <c r="F59" t="s">
        <v>200</v>
      </c>
      <c r="G59" t="s">
        <v>32</v>
      </c>
      <c r="H59" t="s">
        <v>197</v>
      </c>
      <c r="I59" t="s">
        <v>201</v>
      </c>
      <c r="J59" t="s">
        <v>202</v>
      </c>
      <c r="K59" t="s">
        <v>147</v>
      </c>
      <c r="L59" s="3">
        <v>2.5120000000000005</v>
      </c>
      <c r="M59" s="3">
        <v>11.159308800000002</v>
      </c>
      <c r="N59" s="3">
        <v>123.99232000000002</v>
      </c>
      <c r="O59" s="3">
        <v>135.15162880000003</v>
      </c>
    </row>
    <row r="60" spans="1:15" x14ac:dyDescent="0.35">
      <c r="L60" s="3"/>
      <c r="M60" s="3"/>
      <c r="N60" s="3"/>
      <c r="O60" s="3"/>
    </row>
    <row r="61" spans="1:15" x14ac:dyDescent="0.35">
      <c r="L61" s="3"/>
      <c r="M61" s="3"/>
      <c r="N61" s="3"/>
      <c r="O61" s="3"/>
    </row>
    <row r="62" spans="1:15" x14ac:dyDescent="0.35">
      <c r="L62" s="3"/>
      <c r="M62" s="3"/>
      <c r="N62" s="3"/>
      <c r="O62" s="3"/>
    </row>
    <row r="63" spans="1:15" x14ac:dyDescent="0.35">
      <c r="L63" s="3"/>
      <c r="M63" s="3"/>
      <c r="N63" s="3"/>
      <c r="O63" s="3"/>
    </row>
    <row r="64" spans="1:15" x14ac:dyDescent="0.35">
      <c r="L64" s="3"/>
      <c r="M64" s="3"/>
      <c r="N64" s="3"/>
      <c r="O64" s="3"/>
    </row>
    <row r="65" spans="12:15" x14ac:dyDescent="0.35">
      <c r="L65" s="3"/>
      <c r="M65" s="3"/>
      <c r="N65" s="3"/>
      <c r="O65" s="3"/>
    </row>
    <row r="66" spans="12:15" x14ac:dyDescent="0.35">
      <c r="L66" s="3"/>
      <c r="M66" s="3"/>
      <c r="N66" s="3"/>
      <c r="O66" s="3"/>
    </row>
    <row r="67" spans="12:15" x14ac:dyDescent="0.35">
      <c r="L67" s="3"/>
      <c r="M67" s="3"/>
      <c r="N67" s="3"/>
      <c r="O67" s="3"/>
    </row>
    <row r="68" spans="12:15" x14ac:dyDescent="0.35">
      <c r="L68" s="3"/>
      <c r="M68" s="3"/>
      <c r="N68" s="3"/>
      <c r="O68" s="3"/>
    </row>
    <row r="69" spans="12:15" x14ac:dyDescent="0.35">
      <c r="L69" s="3"/>
      <c r="M69" s="3"/>
      <c r="N69" s="3"/>
      <c r="O69" s="3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Zihan Poh</dc:creator>
  <cp:lastModifiedBy>Zihan Poh</cp:lastModifiedBy>
  <dcterms:created xsi:type="dcterms:W3CDTF">2026-07-02T03:57:11Z</dcterms:created>
  <dcterms:modified xsi:type="dcterms:W3CDTF">2026-07-02T03:57:25Z</dcterms:modified>
</cp:coreProperties>
</file>